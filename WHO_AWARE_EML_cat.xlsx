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y/Documents/Smith/Special Study w: Rob/IQVIA21_SQL/IQVIA21_Analysis/"/>
    </mc:Choice>
  </mc:AlternateContent>
  <xr:revisionPtr revIDLastSave="0" documentId="13_ncr:1_{2F0257CC-2CFD-1E49-A4D2-0821EE953ED6}" xr6:coauthVersionLast="47" xr6:coauthVersionMax="47" xr10:uidLastSave="{00000000-0000-0000-0000-000000000000}"/>
  <bookViews>
    <workbookView xWindow="500" yWindow="740" windowWidth="25400" windowHeight="16800" xr2:uid="{0AE38697-1826-3D40-944D-CEEE2805A602}"/>
  </bookViews>
  <sheets>
    <sheet name="Sheet1" sheetId="1" r:id="rId1"/>
    <sheet name="Sheet2" sheetId="2" r:id="rId2"/>
  </sheets>
  <definedNames>
    <definedName name="_xlnm._FilterDatabase" localSheetId="0" hidden="1">Sheet1!$A$1:$J$269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</calcChain>
</file>

<file path=xl/sharedStrings.xml><?xml version="1.0" encoding="utf-8"?>
<sst xmlns="http://schemas.openxmlformats.org/spreadsheetml/2006/main" count="2644" uniqueCount="632">
  <si>
    <t>Antibiotic</t>
  </si>
  <si>
    <t>Class</t>
  </si>
  <si>
    <t>ATC code</t>
  </si>
  <si>
    <t>Amikacin</t>
  </si>
  <si>
    <t>Aminoglycosides</t>
  </si>
  <si>
    <t>Access</t>
  </si>
  <si>
    <t>Yes</t>
  </si>
  <si>
    <t>Amoxicillin</t>
  </si>
  <si>
    <t>Penicillins</t>
  </si>
  <si>
    <t>J01CA04</t>
  </si>
  <si>
    <t>Amoxicillin/clavulanic-acid</t>
  </si>
  <si>
    <t>Beta-lactam/beta-lactamase-inhibitor</t>
  </si>
  <si>
    <t>J01CR02</t>
  </si>
  <si>
    <t>Amoxicillin/sulbactam</t>
  </si>
  <si>
    <t>No</t>
  </si>
  <si>
    <t>Ampicillin</t>
  </si>
  <si>
    <t>J01CA01 </t>
  </si>
  <si>
    <t>Ampicillin/sulbactam</t>
  </si>
  <si>
    <t>J01CR01</t>
  </si>
  <si>
    <t>Arbekacin</t>
  </si>
  <si>
    <t>J01GB12</t>
  </si>
  <si>
    <t>Watch</t>
  </si>
  <si>
    <t>Aspoxicillin</t>
  </si>
  <si>
    <t>J01CA19</t>
  </si>
  <si>
    <t>Azanidazole</t>
  </si>
  <si>
    <t>Imidazoles</t>
  </si>
  <si>
    <t>P01AB04</t>
  </si>
  <si>
    <t>Azidocillin</t>
  </si>
  <si>
    <t>J01CE04</t>
  </si>
  <si>
    <t>Azithromycin</t>
  </si>
  <si>
    <t>Macrolides</t>
  </si>
  <si>
    <t>J01FA10</t>
  </si>
  <si>
    <t>Azlocillin</t>
  </si>
  <si>
    <t>J01CA09</t>
  </si>
  <si>
    <t>Aztreonam</t>
  </si>
  <si>
    <t>Monobactams</t>
  </si>
  <si>
    <t>J01DF01</t>
  </si>
  <si>
    <t>Reserve</t>
  </si>
  <si>
    <t>Aztreonam/avibactam</t>
  </si>
  <si>
    <t>Monobactam/beta-lactamase-inhibitor</t>
  </si>
  <si>
    <t>J01DF51</t>
  </si>
  <si>
    <t>Bacampicillin</t>
  </si>
  <si>
    <t>J01CA06</t>
  </si>
  <si>
    <t>Bekanamycin</t>
  </si>
  <si>
    <t>J01GB13</t>
  </si>
  <si>
    <t>Benzathine-benzylpenicillin</t>
  </si>
  <si>
    <t>J01CE08</t>
  </si>
  <si>
    <t>Benzathine-phenoxymethylpenicillin</t>
  </si>
  <si>
    <t>J01CE10</t>
  </si>
  <si>
    <t>Benzylpenicillin</t>
  </si>
  <si>
    <t>J01CE01</t>
  </si>
  <si>
    <t>Biapenem</t>
  </si>
  <si>
    <t>Carbapenems</t>
  </si>
  <si>
    <t>J01DH05</t>
  </si>
  <si>
    <t>Brodimoprim</t>
  </si>
  <si>
    <t>Trimethoprim-derivatives</t>
  </si>
  <si>
    <t>J01EA02</t>
  </si>
  <si>
    <t>Carbenicillin</t>
  </si>
  <si>
    <t>J01CA03</t>
  </si>
  <si>
    <t>Carindacillin</t>
  </si>
  <si>
    <t>J01CA05</t>
  </si>
  <si>
    <t>Carumonam</t>
  </si>
  <si>
    <t>J01DF02</t>
  </si>
  <si>
    <t>Cefacetrile</t>
  </si>
  <si>
    <t>First-generation-cephalosporins</t>
  </si>
  <si>
    <t>J01DB10</t>
  </si>
  <si>
    <t>Cefaclor</t>
  </si>
  <si>
    <t>Second-generation-cephalosporins</t>
  </si>
  <si>
    <t>J01DC04</t>
  </si>
  <si>
    <t>Cefadroxil</t>
  </si>
  <si>
    <t>J01DB05</t>
  </si>
  <si>
    <t>Cefalexin</t>
  </si>
  <si>
    <t>J01DB01</t>
  </si>
  <si>
    <t>Cefaloridine</t>
  </si>
  <si>
    <t>J01DB02</t>
  </si>
  <si>
    <t>Cefalotin</t>
  </si>
  <si>
    <t>J01DB03</t>
  </si>
  <si>
    <t>Cefamandole</t>
  </si>
  <si>
    <t>J01DC03</t>
  </si>
  <si>
    <t>Cefapirin</t>
  </si>
  <si>
    <t>J01DB08</t>
  </si>
  <si>
    <t>Cefatrizine</t>
  </si>
  <si>
    <t>J01DB07</t>
  </si>
  <si>
    <t>Cefazedone</t>
  </si>
  <si>
    <t>J01DB06</t>
  </si>
  <si>
    <t>Cefazolin</t>
  </si>
  <si>
    <t>J01DB04</t>
  </si>
  <si>
    <t>Cefbuperazone</t>
  </si>
  <si>
    <t>J01DC13</t>
  </si>
  <si>
    <t>Cefcapene-pivoxil</t>
  </si>
  <si>
    <t>Third-generation-cephalosporins</t>
  </si>
  <si>
    <t>J01DD17</t>
  </si>
  <si>
    <t>Cefdinir</t>
  </si>
  <si>
    <t>J01DD15</t>
  </si>
  <si>
    <t>Cefditoren-pivoxil</t>
  </si>
  <si>
    <t>J01DD16</t>
  </si>
  <si>
    <t>Cefepime</t>
  </si>
  <si>
    <t>Fourth-generation-cephalosporins</t>
  </si>
  <si>
    <t>J01DE01</t>
  </si>
  <si>
    <t>Cefetamet-pivoxil</t>
  </si>
  <si>
    <t>J01DD10</t>
  </si>
  <si>
    <t>Cefiderocol</t>
  </si>
  <si>
    <t>Other-cephalosporins</t>
  </si>
  <si>
    <t>J01DI04</t>
  </si>
  <si>
    <t>Cefixime</t>
  </si>
  <si>
    <t>J01DD08</t>
  </si>
  <si>
    <t>Cefmenoxime</t>
  </si>
  <si>
    <t>J01DD05</t>
  </si>
  <si>
    <t>Cefmetazole</t>
  </si>
  <si>
    <t>J01DC09</t>
  </si>
  <si>
    <t>Cefminox</t>
  </si>
  <si>
    <t>J01DC12</t>
  </si>
  <si>
    <t>Cefodizime</t>
  </si>
  <si>
    <t>J01DD09</t>
  </si>
  <si>
    <t>Cefonicid</t>
  </si>
  <si>
    <t>J01DC06</t>
  </si>
  <si>
    <t>Cefoperazone</t>
  </si>
  <si>
    <t>J01DD12</t>
  </si>
  <si>
    <t>Ceforanide</t>
  </si>
  <si>
    <t>J01DC11</t>
  </si>
  <si>
    <t>Cefoselis</t>
  </si>
  <si>
    <t>not assigned</t>
  </si>
  <si>
    <t>Cefotaxime</t>
  </si>
  <si>
    <t>J01DD01</t>
  </si>
  <si>
    <t>Cefotetan</t>
  </si>
  <si>
    <t>J01DC05</t>
  </si>
  <si>
    <t>Cefotiam</t>
  </si>
  <si>
    <t>J01DC07</t>
  </si>
  <si>
    <t>Cefoxitin</t>
  </si>
  <si>
    <t>J01DC01</t>
  </si>
  <si>
    <t>Cefozopran</t>
  </si>
  <si>
    <t>J01DE03</t>
  </si>
  <si>
    <t>Cefpiramide</t>
  </si>
  <si>
    <t>J01DD11</t>
  </si>
  <si>
    <t>Cefpirome</t>
  </si>
  <si>
    <t>J01DE02</t>
  </si>
  <si>
    <t>Cefpodoxime-proxetil</t>
  </si>
  <si>
    <t>J01DD13</t>
  </si>
  <si>
    <t>Cefprozil</t>
  </si>
  <si>
    <t>J01DC10</t>
  </si>
  <si>
    <t>Cefradine</t>
  </si>
  <si>
    <t>J01DB09</t>
  </si>
  <si>
    <t>Cefroxadine</t>
  </si>
  <si>
    <t>J01DB11</t>
  </si>
  <si>
    <t>Cefsulodin</t>
  </si>
  <si>
    <t>J01DD03</t>
  </si>
  <si>
    <t>Ceftaroline-fosamil</t>
  </si>
  <si>
    <t>Fifth-generation-cephalosporins</t>
  </si>
  <si>
    <t>J01DI02 </t>
  </si>
  <si>
    <t>Ceftazidime</t>
  </si>
  <si>
    <t>J01DD02</t>
  </si>
  <si>
    <t>Ceftazidime/avibactam</t>
  </si>
  <si>
    <t>J01DD52</t>
  </si>
  <si>
    <t>Cefteram-pivoxil</t>
  </si>
  <si>
    <t>J01DD18</t>
  </si>
  <si>
    <t>Ceftezole</t>
  </si>
  <si>
    <t>J01DB12</t>
  </si>
  <si>
    <t>Ceftibuten</t>
  </si>
  <si>
    <t>J01DD14</t>
  </si>
  <si>
    <t>Ceftizoxime</t>
  </si>
  <si>
    <t>J01DD07</t>
  </si>
  <si>
    <t>Ceftobiprole-medocaril</t>
  </si>
  <si>
    <t>J01DI01</t>
  </si>
  <si>
    <t>Ceftolozane/tazobactam</t>
  </si>
  <si>
    <t>J01DI54</t>
  </si>
  <si>
    <t>Ceftriaxone</t>
  </si>
  <si>
    <t>J01DD04</t>
  </si>
  <si>
    <t>Cefuroxime</t>
  </si>
  <si>
    <t>J01DC02</t>
  </si>
  <si>
    <t>Chloramphenicol</t>
  </si>
  <si>
    <t>Amphenicols</t>
  </si>
  <si>
    <t>J01BA01</t>
  </si>
  <si>
    <t>Chlortetracycline</t>
  </si>
  <si>
    <t>Tetracyclines</t>
  </si>
  <si>
    <t>J01AA03</t>
  </si>
  <si>
    <t>Cinoxacin</t>
  </si>
  <si>
    <t>Quinolones</t>
  </si>
  <si>
    <t>J01MB06</t>
  </si>
  <si>
    <t>Ciprofloxacin</t>
  </si>
  <si>
    <t>Fluoroquinolones</t>
  </si>
  <si>
    <t>J01MA02</t>
  </si>
  <si>
    <t>Clarithromycin</t>
  </si>
  <si>
    <t>J01FA09</t>
  </si>
  <si>
    <t>Clindamycin</t>
  </si>
  <si>
    <t>Lincosamides</t>
  </si>
  <si>
    <t>J01FF01</t>
  </si>
  <si>
    <t>Clofoctol</t>
  </si>
  <si>
    <t>Phenol-derivatives</t>
  </si>
  <si>
    <t>J01XX03</t>
  </si>
  <si>
    <t>Clometocillin</t>
  </si>
  <si>
    <t>J01CE07</t>
  </si>
  <si>
    <t>Clomocycline</t>
  </si>
  <si>
    <t>J01AA11</t>
  </si>
  <si>
    <t>Cloxacillin</t>
  </si>
  <si>
    <t>J01CF02</t>
  </si>
  <si>
    <t>Colistin_IV</t>
  </si>
  <si>
    <t>Polymyxins</t>
  </si>
  <si>
    <t>J01XB01</t>
  </si>
  <si>
    <t>Colistin_oral</t>
  </si>
  <si>
    <t>A07AA10</t>
  </si>
  <si>
    <t>Dalbavancin</t>
  </si>
  <si>
    <t>Glycopeptides</t>
  </si>
  <si>
    <t>J01XA04</t>
  </si>
  <si>
    <t>Dalfopristin/quinupristin</t>
  </si>
  <si>
    <t>Streptogramins</t>
  </si>
  <si>
    <t>J01FG02</t>
  </si>
  <si>
    <t>Daptomycin</t>
  </si>
  <si>
    <t>Lipopeptides</t>
  </si>
  <si>
    <t>J01XX09</t>
  </si>
  <si>
    <t>Delafloxacin</t>
  </si>
  <si>
    <t>J01MA23</t>
  </si>
  <si>
    <t>Demeclocycline</t>
  </si>
  <si>
    <t>J01AA01</t>
  </si>
  <si>
    <t>Dibekacin</t>
  </si>
  <si>
    <t>J01GB09</t>
  </si>
  <si>
    <t>Dicloxacillin</t>
  </si>
  <si>
    <t>J01CF01</t>
  </si>
  <si>
    <t>Dirithromycin</t>
  </si>
  <si>
    <t>J01FA13</t>
  </si>
  <si>
    <t>Doripenem</t>
  </si>
  <si>
    <t>J01DH04</t>
  </si>
  <si>
    <t>Doxycycline</t>
  </si>
  <si>
    <t>J01AA02</t>
  </si>
  <si>
    <t>Enoxacin</t>
  </si>
  <si>
    <t>J01MA04</t>
  </si>
  <si>
    <t>Epicillin</t>
  </si>
  <si>
    <t>J01CA07</t>
  </si>
  <si>
    <t>Eravacycline</t>
  </si>
  <si>
    <t>J01AA13</t>
  </si>
  <si>
    <t>Ertapenem</t>
  </si>
  <si>
    <t>J01DH03</t>
  </si>
  <si>
    <t>Erythromycin</t>
  </si>
  <si>
    <t>J01FA01</t>
  </si>
  <si>
    <t>Faropenem</t>
  </si>
  <si>
    <t>Penems</t>
  </si>
  <si>
    <t>J01DI03</t>
  </si>
  <si>
    <t>Fidaxomicin</t>
  </si>
  <si>
    <t>A07AA12</t>
  </si>
  <si>
    <t>Fleroxacin</t>
  </si>
  <si>
    <t>J01MA08</t>
  </si>
  <si>
    <t>Flomoxef</t>
  </si>
  <si>
    <t>J01DC14</t>
  </si>
  <si>
    <t>Flucloxacillin</t>
  </si>
  <si>
    <t>J01CF05</t>
  </si>
  <si>
    <t>Flumequine</t>
  </si>
  <si>
    <t>J01MB07</t>
  </si>
  <si>
    <t>Flurithromycin</t>
  </si>
  <si>
    <t>J01FA14</t>
  </si>
  <si>
    <t>Fosfomycin_IV</t>
  </si>
  <si>
    <t>Phosphonics</t>
  </si>
  <si>
    <t>J01XX01</t>
  </si>
  <si>
    <t>Fosfomycin_oral</t>
  </si>
  <si>
    <t>Furazidin</t>
  </si>
  <si>
    <t>Nitrofuran-derivatives</t>
  </si>
  <si>
    <t>J01XE03</t>
  </si>
  <si>
    <t>Fusidic-acid</t>
  </si>
  <si>
    <t>Steroid-antibacterials</t>
  </si>
  <si>
    <t>J01XC01</t>
  </si>
  <si>
    <t>Garenoxacin</t>
  </si>
  <si>
    <t>J01MA19</t>
  </si>
  <si>
    <t>Gatifloxacin</t>
  </si>
  <si>
    <t>J01MA16</t>
  </si>
  <si>
    <t>Gemifloxacin</t>
  </si>
  <si>
    <t>J01MA15</t>
  </si>
  <si>
    <t>Gentamicin</t>
  </si>
  <si>
    <t>J01GB03</t>
  </si>
  <si>
    <t>Gepotidacin</t>
  </si>
  <si>
    <t>Triazaacenaphthylenes </t>
  </si>
  <si>
    <t>J01XX13</t>
  </si>
  <si>
    <t>Grepafloxacin</t>
  </si>
  <si>
    <t>J01MA11</t>
  </si>
  <si>
    <t>Hetacillin</t>
  </si>
  <si>
    <t>J01CA18</t>
  </si>
  <si>
    <t>Iclaprim</t>
  </si>
  <si>
    <t>J01EA03</t>
  </si>
  <si>
    <t>Imipenem/cilastatin</t>
  </si>
  <si>
    <t>J01DH51</t>
  </si>
  <si>
    <t>Imipenem/cilastatin/relebactam</t>
  </si>
  <si>
    <t>J01DH56</t>
  </si>
  <si>
    <t>Isepamicin</t>
  </si>
  <si>
    <t>J01GB11</t>
  </si>
  <si>
    <t>Josamycin</t>
  </si>
  <si>
    <t>J01FA07</t>
  </si>
  <si>
    <t>Kanamycin_IV</t>
  </si>
  <si>
    <t>J01GB04</t>
  </si>
  <si>
    <t>Kanamycin_oral</t>
  </si>
  <si>
    <t>A07AA08</t>
  </si>
  <si>
    <t>Lascufloxacin</t>
  </si>
  <si>
    <t>J01MA25</t>
  </si>
  <si>
    <t>Latamoxef</t>
  </si>
  <si>
    <t>J01DD06</t>
  </si>
  <si>
    <t>Lefamulin</t>
  </si>
  <si>
    <t>Pleuromutilin</t>
  </si>
  <si>
    <t>J01XX12</t>
  </si>
  <si>
    <t>Levofloxacin</t>
  </si>
  <si>
    <t>J01MA12</t>
  </si>
  <si>
    <t>Levonadifloxacin</t>
  </si>
  <si>
    <t>J01MA24</t>
  </si>
  <si>
    <t>Lincomycin</t>
  </si>
  <si>
    <t>J01FF02</t>
  </si>
  <si>
    <t>Linezolid</t>
  </si>
  <si>
    <t>Oxazolidinones</t>
  </si>
  <si>
    <t>J01XX08</t>
  </si>
  <si>
    <t>Lomefloxacin</t>
  </si>
  <si>
    <t>J01MA07</t>
  </si>
  <si>
    <t>Loracarbef</t>
  </si>
  <si>
    <t>J01DC08</t>
  </si>
  <si>
    <t>Lymecycline</t>
  </si>
  <si>
    <t>J01AA04</t>
  </si>
  <si>
    <t>Mecillinam</t>
  </si>
  <si>
    <t>J01CA11</t>
  </si>
  <si>
    <t>Meropenem</t>
  </si>
  <si>
    <t>J01DH02</t>
  </si>
  <si>
    <t>Meropenem/vaborbactam</t>
  </si>
  <si>
    <t>J01DH52</t>
  </si>
  <si>
    <t>Metacycline</t>
  </si>
  <si>
    <t>J01AA05</t>
  </si>
  <si>
    <t>Metampicillin</t>
  </si>
  <si>
    <t>J01CA14</t>
  </si>
  <si>
    <t>Meticillin</t>
  </si>
  <si>
    <t>J01CF03</t>
  </si>
  <si>
    <t>Metronidazole_IV</t>
  </si>
  <si>
    <t>J01XD01</t>
  </si>
  <si>
    <t>Metronidazole_oral</t>
  </si>
  <si>
    <t>P01AB01</t>
  </si>
  <si>
    <t>Mezlocillin</t>
  </si>
  <si>
    <t>J01CA10</t>
  </si>
  <si>
    <t>Micronomicin</t>
  </si>
  <si>
    <t>Midecamycin</t>
  </si>
  <si>
    <t>J01FA03</t>
  </si>
  <si>
    <t>Minocycline_IV</t>
  </si>
  <si>
    <t>J01AA08</t>
  </si>
  <si>
    <t>Minocycline_oral</t>
  </si>
  <si>
    <t>Miocamycin</t>
  </si>
  <si>
    <t>J01FA11</t>
  </si>
  <si>
    <t>Moxifloxacin</t>
  </si>
  <si>
    <t>J01MA14</t>
  </si>
  <si>
    <t>Nafcillin</t>
  </si>
  <si>
    <t>J01CF06</t>
  </si>
  <si>
    <t>Nalidixic-acid</t>
  </si>
  <si>
    <t>J01MB02</t>
  </si>
  <si>
    <t>Nemonoxacin</t>
  </si>
  <si>
    <t>J01MB08</t>
  </si>
  <si>
    <t>Neomycin_IV</t>
  </si>
  <si>
    <t>J01GB05</t>
  </si>
  <si>
    <t>Neomycin_oral</t>
  </si>
  <si>
    <t>A07AA01</t>
  </si>
  <si>
    <t>Netilmicin</t>
  </si>
  <si>
    <t>J01GB07</t>
  </si>
  <si>
    <t>Nifurtoinol</t>
  </si>
  <si>
    <t>J01XE02</t>
  </si>
  <si>
    <t>Nimorazole</t>
  </si>
  <si>
    <t>P01AB06</t>
  </si>
  <si>
    <t>Nitrofurantoin</t>
  </si>
  <si>
    <t>J01XE01</t>
  </si>
  <si>
    <t>Norfloxacin</t>
  </si>
  <si>
    <t>J01MA06</t>
  </si>
  <si>
    <t>Ofloxacin</t>
  </si>
  <si>
    <t>J01MA01</t>
  </si>
  <si>
    <t>Oleandomycin</t>
  </si>
  <si>
    <t>J01FA05</t>
  </si>
  <si>
    <t>Omadacycline</t>
  </si>
  <si>
    <t>J01AA15</t>
  </si>
  <si>
    <t>Oritavancin</t>
  </si>
  <si>
    <t>J01XA05</t>
  </si>
  <si>
    <t>Ornidazole_IV</t>
  </si>
  <si>
    <t>J01XD03</t>
  </si>
  <si>
    <t>Ornidazole_oral</t>
  </si>
  <si>
    <t>P01AB03</t>
  </si>
  <si>
    <t>Oxacillin</t>
  </si>
  <si>
    <t>J01CF04</t>
  </si>
  <si>
    <t>Oxolinic-acid</t>
  </si>
  <si>
    <t>J01MB05</t>
  </si>
  <si>
    <t>Oxytetracycline</t>
  </si>
  <si>
    <t>J01AA06</t>
  </si>
  <si>
    <t>Panipenem</t>
  </si>
  <si>
    <t>J01DH55</t>
  </si>
  <si>
    <t>Paromomycin_oral</t>
  </si>
  <si>
    <t>A07AA06</t>
  </si>
  <si>
    <t>Pazufloxacin</t>
  </si>
  <si>
    <t>J01MA18</t>
  </si>
  <si>
    <t>Pefloxacin</t>
  </si>
  <si>
    <t>J01MA03</t>
  </si>
  <si>
    <t>Penamecillin</t>
  </si>
  <si>
    <t>J01CE06</t>
  </si>
  <si>
    <t>Penimepicycline</t>
  </si>
  <si>
    <t>J01AA10</t>
  </si>
  <si>
    <t>Pheneticillin</t>
  </si>
  <si>
    <t>J01CE05</t>
  </si>
  <si>
    <t>Phenoxymethylpenicillin</t>
  </si>
  <si>
    <t>J01CE02</t>
  </si>
  <si>
    <t>Pipemidic-acid</t>
  </si>
  <si>
    <t>J01MB04</t>
  </si>
  <si>
    <t>Piperacillin</t>
  </si>
  <si>
    <t>J01CA12</t>
  </si>
  <si>
    <t>Piperacillin/tazobactam</t>
  </si>
  <si>
    <t>Beta-lactam/beta-lactamase-inhibitor_anti-pseudomonal</t>
  </si>
  <si>
    <t>J01CR05</t>
  </si>
  <si>
    <t>Piromidic-acid</t>
  </si>
  <si>
    <t>J01MB03</t>
  </si>
  <si>
    <t>Pivampicillin</t>
  </si>
  <si>
    <t>J01CA02</t>
  </si>
  <si>
    <t>Pivmecillinam</t>
  </si>
  <si>
    <t>J01CA08</t>
  </si>
  <si>
    <t>Plazomicin</t>
  </si>
  <si>
    <t>J01GB14</t>
  </si>
  <si>
    <t>Polymyxin-B_IV</t>
  </si>
  <si>
    <t>J01XB02</t>
  </si>
  <si>
    <t>Polymyxin-B_oral</t>
  </si>
  <si>
    <t>A07AA05</t>
  </si>
  <si>
    <t>Pristinamycin</t>
  </si>
  <si>
    <t>J01FG01</t>
  </si>
  <si>
    <t>Procaine-benzylpenicillin</t>
  </si>
  <si>
    <t>J01CE09</t>
  </si>
  <si>
    <t>Propenidazole</t>
  </si>
  <si>
    <t>P01AB05</t>
  </si>
  <si>
    <t>Propicillin</t>
  </si>
  <si>
    <t>J01CE03</t>
  </si>
  <si>
    <t>Prulifloxacin</t>
  </si>
  <si>
    <t>J01MA17</t>
  </si>
  <si>
    <t>Ribostamycin</t>
  </si>
  <si>
    <t>J01GB10</t>
  </si>
  <si>
    <t>Rifabutin</t>
  </si>
  <si>
    <t>Rifamycins</t>
  </si>
  <si>
    <t>J04AB04</t>
  </si>
  <si>
    <t>Rifampicin</t>
  </si>
  <si>
    <t>J04AB02</t>
  </si>
  <si>
    <t>Rifamycin_IV</t>
  </si>
  <si>
    <t>J04AB03</t>
  </si>
  <si>
    <t>Rifamycin_oral</t>
  </si>
  <si>
    <t>A07AA13</t>
  </si>
  <si>
    <t>Rifaximin</t>
  </si>
  <si>
    <t>A07AA11</t>
  </si>
  <si>
    <t>Rokitamycin</t>
  </si>
  <si>
    <t>J01FA12</t>
  </si>
  <si>
    <t>Rolitetracycline</t>
  </si>
  <si>
    <t>J01AA09</t>
  </si>
  <si>
    <t>Rosoxacin</t>
  </si>
  <si>
    <t>J01MB01</t>
  </si>
  <si>
    <t>Roxithromycin</t>
  </si>
  <si>
    <t>J01FA06</t>
  </si>
  <si>
    <t>Rufloxacin</t>
  </si>
  <si>
    <t>J01MA10</t>
  </si>
  <si>
    <t>Sarecycline</t>
  </si>
  <si>
    <t>J01AA14</t>
  </si>
  <si>
    <t>Satranidazole</t>
  </si>
  <si>
    <t>P01AB08</t>
  </si>
  <si>
    <t>Secnidazole</t>
  </si>
  <si>
    <t>P01AB07</t>
  </si>
  <si>
    <t>Sisomicin</t>
  </si>
  <si>
    <t>J01GB08</t>
  </si>
  <si>
    <t>Sitafloxacin</t>
  </si>
  <si>
    <t>J01MA21</t>
  </si>
  <si>
    <t>Solithromycin</t>
  </si>
  <si>
    <t>J01FA16</t>
  </si>
  <si>
    <t>Sparfloxacin</t>
  </si>
  <si>
    <t>J01MA09</t>
  </si>
  <si>
    <t>Spectinomycin</t>
  </si>
  <si>
    <t>Aminocyclitols</t>
  </si>
  <si>
    <t>J01XX04</t>
  </si>
  <si>
    <t>Spiramycin</t>
  </si>
  <si>
    <t>J01FA02</t>
  </si>
  <si>
    <t>Streptoduocin</t>
  </si>
  <si>
    <t>J01GA02</t>
  </si>
  <si>
    <t>Streptomycin_IV</t>
  </si>
  <si>
    <t>J01GA01</t>
  </si>
  <si>
    <t>Streptomycin_oral</t>
  </si>
  <si>
    <t>A07AA04</t>
  </si>
  <si>
    <t>Sulbactam</t>
  </si>
  <si>
    <t>Beta-lactamase-inhibitors</t>
  </si>
  <si>
    <t>J01CG01</t>
  </si>
  <si>
    <t>Sulbenicillin</t>
  </si>
  <si>
    <t>J01CA16</t>
  </si>
  <si>
    <t>Sulfadiazine</t>
  </si>
  <si>
    <t>Sulfonamides</t>
  </si>
  <si>
    <t>J01EC02</t>
  </si>
  <si>
    <t>Sulfadiazine/tetroxoprim</t>
  </si>
  <si>
    <t>Sulfonamide-trimethoprim-combinations</t>
  </si>
  <si>
    <t>J01EE06</t>
  </si>
  <si>
    <t>Sulfadiazine/trimethoprim</t>
  </si>
  <si>
    <t>J01EE02</t>
  </si>
  <si>
    <t>Sulfadimethoxine</t>
  </si>
  <si>
    <t>J01ED01</t>
  </si>
  <si>
    <t>Sulfadimidine</t>
  </si>
  <si>
    <t>J01EB03</t>
  </si>
  <si>
    <t>Sulfadimidine/trimethoprim</t>
  </si>
  <si>
    <t>J01EE05</t>
  </si>
  <si>
    <t>Sulfafurazole</t>
  </si>
  <si>
    <t>J01EB05</t>
  </si>
  <si>
    <t>Sulfaisodimidine</t>
  </si>
  <si>
    <t>J01EB01</t>
  </si>
  <si>
    <t>Sulfalene</t>
  </si>
  <si>
    <t>J01ED02</t>
  </si>
  <si>
    <t>Sulfamazone</t>
  </si>
  <si>
    <t>J01ED09</t>
  </si>
  <si>
    <t>Sulfamerazine</t>
  </si>
  <si>
    <t>J01ED07</t>
  </si>
  <si>
    <t>Sulfamerazine/trimethoprim</t>
  </si>
  <si>
    <t>J01EE07</t>
  </si>
  <si>
    <t>Sulfamethizole</t>
  </si>
  <si>
    <t>J01EB02</t>
  </si>
  <si>
    <t>Sulfamethoxazole</t>
  </si>
  <si>
    <t>J01EC01</t>
  </si>
  <si>
    <t>Sulfamethoxazole/trimethoprim</t>
  </si>
  <si>
    <t>J01EE01</t>
  </si>
  <si>
    <t>Sulfamethoxypyridazine</t>
  </si>
  <si>
    <t>J01ED05</t>
  </si>
  <si>
    <t>Sulfametomidine</t>
  </si>
  <si>
    <t>J01ED03</t>
  </si>
  <si>
    <t>Sulfametoxydiazine</t>
  </si>
  <si>
    <t>J01ED04</t>
  </si>
  <si>
    <t>Sulfametrole/trimethoprim</t>
  </si>
  <si>
    <t>J01EE03</t>
  </si>
  <si>
    <t>Sulfamoxole</t>
  </si>
  <si>
    <t>J01EC03</t>
  </si>
  <si>
    <t>Sulfamoxole/trimethoprim</t>
  </si>
  <si>
    <t>J01EE04</t>
  </si>
  <si>
    <t>Sulfanilamide</t>
  </si>
  <si>
    <t>J01EB06</t>
  </si>
  <si>
    <t>Sulfaperin</t>
  </si>
  <si>
    <t>J01ED06</t>
  </si>
  <si>
    <t>Sulfaphenazole</t>
  </si>
  <si>
    <t>J01ED08</t>
  </si>
  <si>
    <t>Sulfapyridine</t>
  </si>
  <si>
    <t>J01EB04</t>
  </si>
  <si>
    <t>Sulfathiazole</t>
  </si>
  <si>
    <t>J01EB07</t>
  </si>
  <si>
    <t>Sulfathiourea</t>
  </si>
  <si>
    <t>J01EB08</t>
  </si>
  <si>
    <t>Sultamicillin</t>
  </si>
  <si>
    <t>J01CR04</t>
  </si>
  <si>
    <t>Talampicillin</t>
  </si>
  <si>
    <t>J01CA15</t>
  </si>
  <si>
    <t>Tazobactam</t>
  </si>
  <si>
    <t>J01CG02</t>
  </si>
  <si>
    <t>Tebipenem</t>
  </si>
  <si>
    <t>J01DH06</t>
  </si>
  <si>
    <t>Tedizolid</t>
  </si>
  <si>
    <t>J01XX11</t>
  </si>
  <si>
    <t>Teicoplanin</t>
  </si>
  <si>
    <t>J01XA02</t>
  </si>
  <si>
    <t>Telavancin</t>
  </si>
  <si>
    <t>J01XA03</t>
  </si>
  <si>
    <t>Telithromycin</t>
  </si>
  <si>
    <t>J01FA15</t>
  </si>
  <si>
    <t>Temafloxacin</t>
  </si>
  <si>
    <t>J01MA05</t>
  </si>
  <si>
    <t>Temocillin</t>
  </si>
  <si>
    <t>J01CA17</t>
  </si>
  <si>
    <t>Tetracycline</t>
  </si>
  <si>
    <t>J01AA07</t>
  </si>
  <si>
    <t>Thiamphenicol</t>
  </si>
  <si>
    <t>J01BA02</t>
  </si>
  <si>
    <t>Ticarcillin</t>
  </si>
  <si>
    <t>J01CA13</t>
  </si>
  <si>
    <t>Ticarcillin/clavulanic-acid</t>
  </si>
  <si>
    <t>Tigecycline</t>
  </si>
  <si>
    <t>Glycylcyclines</t>
  </si>
  <si>
    <t>J01AA12</t>
  </si>
  <si>
    <t>Tinidazole_IV</t>
  </si>
  <si>
    <t>J01XD02</t>
  </si>
  <si>
    <t>Tinidazole_oral</t>
  </si>
  <si>
    <t>P01AB02</t>
  </si>
  <si>
    <t>Tobramycin</t>
  </si>
  <si>
    <t>J01GB01</t>
  </si>
  <si>
    <t>Tosufloxacin</t>
  </si>
  <si>
    <t>J01MA22</t>
  </si>
  <si>
    <t>Trimethoprim</t>
  </si>
  <si>
    <t>J01EA01</t>
  </si>
  <si>
    <t>Troleandomycin</t>
  </si>
  <si>
    <t>J01FA08</t>
  </si>
  <si>
    <t>Trovafloxacin</t>
  </si>
  <si>
    <t>J01MA13</t>
  </si>
  <si>
    <t>Vancomycin_IV</t>
  </si>
  <si>
    <t>J01XA01</t>
  </si>
  <si>
    <t>Vancomycin_oral</t>
  </si>
  <si>
    <t>A07AA09</t>
  </si>
  <si>
    <t>Status_EML2025</t>
    <phoneticPr fontId="2" type="noConversion"/>
  </si>
  <si>
    <t>AWARE_Cat2025</t>
    <phoneticPr fontId="2" type="noConversion"/>
  </si>
  <si>
    <t xml:space="preserve">Watch </t>
  </si>
  <si>
    <t>AWARE_Cat2021</t>
    <phoneticPr fontId="2" type="noConversion"/>
  </si>
  <si>
    <t>Status_EML2021</t>
    <phoneticPr fontId="2" type="noConversion"/>
  </si>
  <si>
    <t>J01CR03</t>
    <phoneticPr fontId="2" type="noConversion"/>
  </si>
  <si>
    <t>Penicillins</t>
    <phoneticPr fontId="2" type="noConversion"/>
  </si>
  <si>
    <t>Access group antibiotics</t>
  </si>
  <si>
    <t>Antituberculosis medicines</t>
  </si>
  <si>
    <t>Reserve group antibiotics</t>
  </si>
  <si>
    <t>Watch group antibiotics</t>
  </si>
  <si>
    <t>J01GB06</t>
    <phoneticPr fontId="2" type="noConversion"/>
  </si>
  <si>
    <t>EML_2025</t>
    <phoneticPr fontId="2" type="noConversion"/>
  </si>
  <si>
    <t>Beta-lactam/beta-lactamase-inhibitor</t>
    <phoneticPr fontId="2" type="noConversion"/>
  </si>
  <si>
    <t>AWARE_Cat2019</t>
    <phoneticPr fontId="2" type="noConversion"/>
  </si>
  <si>
    <t>Status_EML2019</t>
    <phoneticPr fontId="2" type="noConversion"/>
  </si>
  <si>
    <t xml:space="preserve">Category </t>
  </si>
  <si>
    <t>Listed on EML 2019</t>
  </si>
  <si>
    <t>J01GB06</t>
  </si>
  <si>
    <t>to be assigned</t>
  </si>
  <si>
    <t xml:space="preserve">J01FF01 </t>
  </si>
  <si>
    <t>J01RA04</t>
  </si>
  <si>
    <t>Amoxicillin/clavulanic Acid</t>
  </si>
  <si>
    <t>Benzathine benzylpenicillin</t>
  </si>
  <si>
    <t>Cefcapene pivoxil</t>
  </si>
  <si>
    <t>Cefditoren pivoxil</t>
  </si>
  <si>
    <t>Cefetamet pivoxil</t>
  </si>
  <si>
    <t>Cefotiam hexetil</t>
  </si>
  <si>
    <t>Cefpodoxime proxetil</t>
  </si>
  <si>
    <t>Ceftaroline fosamil</t>
  </si>
  <si>
    <t>Ceftazidime-avibactam</t>
  </si>
  <si>
    <t>Cefteram pivoxil</t>
  </si>
  <si>
    <t>Ceftobiprole medocaril</t>
  </si>
  <si>
    <t>Ceftolozane-tazobactam</t>
  </si>
  <si>
    <t>Colistin</t>
  </si>
  <si>
    <t>Dalfopristin-quinupristin</t>
  </si>
  <si>
    <t>Fosfomycin (IV)</t>
  </si>
  <si>
    <t>Fosfomycin (oral)</t>
  </si>
  <si>
    <t>Fusidic Acid</t>
  </si>
  <si>
    <t>Kanamycin</t>
  </si>
  <si>
    <t>Meropenem-vaborbactam</t>
  </si>
  <si>
    <t>Metronidazole (IV)</t>
  </si>
  <si>
    <t>Metronidazole (oral)</t>
  </si>
  <si>
    <t>Minocycline (IV)</t>
  </si>
  <si>
    <t>Minocycline (oral)</t>
  </si>
  <si>
    <t>Neomycin</t>
  </si>
  <si>
    <t>Polymyxin B</t>
  </si>
  <si>
    <t>Procaine benzylpenicillin</t>
  </si>
  <si>
    <t>Rifamycin</t>
  </si>
  <si>
    <t>Spiramycin/metronidazole</t>
  </si>
  <si>
    <t>Streptomycin</t>
  </si>
  <si>
    <t>Sulfamethizole/trimethoprim</t>
  </si>
  <si>
    <t>Vancomycin (IV)</t>
  </si>
  <si>
    <t>Vancomycin (oral)</t>
  </si>
  <si>
    <t>Tetracycline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</si>
</sst>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rialMT"/>
      <family val="2"/>
      <charset val="134"/>
    </font>
    <font>
      <b/>
      <sz val="11"/>
      <color theme="1"/>
      <name val="Arial Nova Light"/>
      <family val="2"/>
    </font>
    <font>
      <sz val="9"/>
      <name val="ArialMT"/>
      <family val="2"/>
      <charset val="134"/>
    </font>
    <font>
      <sz val="11"/>
      <name val="Arial Nova Light"/>
      <family val="2"/>
    </font>
    <font>
      <sz val="11"/>
      <color theme="1"/>
      <name val="Arial Nova Light"/>
      <family val="2"/>
    </font>
    <font>
      <b/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sz val="11"/>
      <color rgb="FF00B050"/>
      <name val="等线"/>
      <family val="2"/>
      <scheme val="minor"/>
    </font>
    <font>
      <sz val="11"/>
      <color rgb="FFFFC000"/>
      <name val="等线"/>
      <family val="2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/>
    <xf numFmtId="0" fontId="1" fillId="2" borderId="0" xfId="0" applyFont="1" applyFill="1" applyAlignment="1"/>
    <xf numFmtId="0" fontId="5" fillId="2" borderId="0" xfId="0" applyFont="1" applyFill="1" applyBorder="1" applyAlignment="1"/>
    <xf numFmtId="0" fontId="7" fillId="0" borderId="0" xfId="0" applyFont="1" applyAlignment="1"/>
    <xf numFmtId="0" fontId="0" fillId="0" borderId="0" xfId="0" applyAlignment="1"/>
    <xf numFmtId="0" fontId="8" fillId="0" borderId="0" xfId="0" applyFont="1" applyAlignment="1"/>
    <xf numFmtId="0" fontId="9" fillId="0" borderId="0" xfId="0" applyFont="1" applyAlignment="1"/>
  </cellXfs>
  <cellStyles count="2">
    <cellStyle name="Normal" xfId="0" builtinId="0"/>
    <cellStyle name="Normal 2" xfId="1" xr:uid="{FA515D61-2E0C-E74F-AEFA-8BD6B5A6C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EF34-B812-F449-B6D3-408FB8983246}">
  <dimension ref="A1:J269"/>
  <sheetViews>
    <sheetView tabSelected="1" workbookViewId="0">
      <pane xSplit="1" topLeftCell="C1" activePane="topRight" state="frozen"/>
      <selection pane="topRight" activeCell="F22" sqref="F22"/>
    </sheetView>
  </sheetViews>
  <sheetFormatPr baseColWidth="10" defaultRowHeight="16"/>
  <cols>
    <col min="1" max="1" width="25.85546875" customWidth="1"/>
    <col min="2" max="2" width="31.28515625" customWidth="1"/>
    <col min="3" max="3" width="15.85546875" customWidth="1"/>
    <col min="4" max="4" width="16.7109375" customWidth="1"/>
    <col min="5" max="6" width="32.7109375" customWidth="1"/>
    <col min="7" max="9" width="18.85546875" customWidth="1"/>
    <col min="10" max="10" width="22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578</v>
      </c>
      <c r="E1" s="1" t="s">
        <v>577</v>
      </c>
      <c r="F1" s="1" t="s">
        <v>580</v>
      </c>
      <c r="G1" s="4" t="s">
        <v>581</v>
      </c>
      <c r="H1" s="6" t="s">
        <v>591</v>
      </c>
      <c r="I1" s="6" t="s">
        <v>592</v>
      </c>
      <c r="J1" s="5" t="s">
        <v>589</v>
      </c>
    </row>
    <row r="2" spans="1:10">
      <c r="A2" s="2" t="s">
        <v>3</v>
      </c>
      <c r="B2" s="2" t="s">
        <v>4</v>
      </c>
      <c r="C2" s="2" t="s">
        <v>588</v>
      </c>
      <c r="D2" s="2" t="s">
        <v>5</v>
      </c>
      <c r="E2" s="3" t="s">
        <v>6</v>
      </c>
      <c r="F2" s="3" t="s">
        <v>5</v>
      </c>
      <c r="G2" t="s">
        <v>6</v>
      </c>
      <c r="H2" t="str">
        <f>VLOOKUP(C2,Sheet2!A:D,3,0)</f>
        <v>Access</v>
      </c>
      <c r="I2" t="str">
        <f>VLOOKUP(C2,Sheet2!A:D,4,0)</f>
        <v>Yes</v>
      </c>
      <c r="J2" t="s">
        <v>584</v>
      </c>
    </row>
    <row r="3" spans="1:10">
      <c r="A3" s="2" t="s">
        <v>7</v>
      </c>
      <c r="B3" s="2" t="s">
        <v>583</v>
      </c>
      <c r="C3" s="2" t="s">
        <v>9</v>
      </c>
      <c r="D3" s="2" t="s">
        <v>5</v>
      </c>
      <c r="E3" s="3" t="s">
        <v>6</v>
      </c>
      <c r="F3" s="3" t="s">
        <v>5</v>
      </c>
      <c r="G3" t="s">
        <v>6</v>
      </c>
      <c r="H3" t="str">
        <f>VLOOKUP(C3,Sheet2!A:D,3,0)</f>
        <v>Access</v>
      </c>
      <c r="I3" t="str">
        <f>VLOOKUP(C3,Sheet2!A:D,4,0)</f>
        <v>Yes</v>
      </c>
      <c r="J3" t="s">
        <v>584</v>
      </c>
    </row>
    <row r="4" spans="1:10">
      <c r="A4" s="2" t="s">
        <v>10</v>
      </c>
      <c r="B4" s="2" t="s">
        <v>11</v>
      </c>
      <c r="C4" s="2" t="s">
        <v>12</v>
      </c>
      <c r="D4" s="2" t="s">
        <v>5</v>
      </c>
      <c r="E4" s="3" t="s">
        <v>6</v>
      </c>
      <c r="F4" s="3" t="s">
        <v>5</v>
      </c>
      <c r="G4" t="s">
        <v>6</v>
      </c>
      <c r="H4" t="str">
        <f>VLOOKUP(C4,Sheet2!A:D,3,0)</f>
        <v>Access</v>
      </c>
      <c r="I4" t="str">
        <f>VLOOKUP(C4,Sheet2!A:D,4,0)</f>
        <v>Yes</v>
      </c>
      <c r="J4" t="s">
        <v>584</v>
      </c>
    </row>
    <row r="5" spans="1:10">
      <c r="A5" s="2" t="s">
        <v>13</v>
      </c>
      <c r="B5" s="2" t="s">
        <v>11</v>
      </c>
      <c r="C5" s="2" t="s">
        <v>12</v>
      </c>
      <c r="D5" s="2" t="s">
        <v>5</v>
      </c>
      <c r="E5" s="3" t="s">
        <v>14</v>
      </c>
      <c r="F5" s="3" t="e">
        <v>#N/A</v>
      </c>
      <c r="G5" t="e">
        <v>#N/A</v>
      </c>
      <c r="H5" t="str">
        <f>VLOOKUP(C5,Sheet2!A:D,3,0)</f>
        <v>Access</v>
      </c>
      <c r="I5" t="str">
        <f>VLOOKUP(C5,Sheet2!A:D,4,0)</f>
        <v>Yes</v>
      </c>
      <c r="J5" t="s">
        <v>584</v>
      </c>
    </row>
    <row r="6" spans="1:10">
      <c r="A6" s="2" t="s">
        <v>15</v>
      </c>
      <c r="B6" s="2" t="s">
        <v>8</v>
      </c>
      <c r="C6" s="2" t="s">
        <v>16</v>
      </c>
      <c r="D6" s="2" t="s">
        <v>5</v>
      </c>
      <c r="E6" s="3" t="s">
        <v>6</v>
      </c>
      <c r="F6" s="3" t="s">
        <v>5</v>
      </c>
      <c r="G6" t="s">
        <v>6</v>
      </c>
      <c r="H6" t="str">
        <f>VLOOKUP(C6,Sheet2!A:D,3,0)</f>
        <v>Access</v>
      </c>
      <c r="I6" t="str">
        <f>VLOOKUP(C6,Sheet2!A:D,4,0)</f>
        <v>Yes</v>
      </c>
      <c r="J6" t="e">
        <v>#N/A</v>
      </c>
    </row>
    <row r="7" spans="1:10">
      <c r="A7" s="2" t="s">
        <v>17</v>
      </c>
      <c r="B7" s="2" t="s">
        <v>590</v>
      </c>
      <c r="C7" s="2" t="s">
        <v>18</v>
      </c>
      <c r="D7" s="2" t="s">
        <v>5</v>
      </c>
      <c r="E7" s="3" t="s">
        <v>14</v>
      </c>
      <c r="F7" s="3" t="s">
        <v>5</v>
      </c>
      <c r="G7" t="s">
        <v>14</v>
      </c>
      <c r="H7" t="str">
        <f>VLOOKUP(C7,Sheet2!A:D,3,0)</f>
        <v>Access</v>
      </c>
      <c r="I7" t="str">
        <f>VLOOKUP(C7,Sheet2!A:D,4,0)</f>
        <v>No</v>
      </c>
      <c r="J7" t="e">
        <v>#N/A</v>
      </c>
    </row>
    <row r="8" spans="1:10">
      <c r="A8" s="2" t="s">
        <v>24</v>
      </c>
      <c r="B8" s="3" t="s">
        <v>25</v>
      </c>
      <c r="C8" s="3" t="s">
        <v>26</v>
      </c>
      <c r="D8" s="3" t="s">
        <v>5</v>
      </c>
      <c r="E8" s="3" t="s">
        <v>14</v>
      </c>
      <c r="F8" s="3" t="e">
        <v>#N/A</v>
      </c>
      <c r="G8" t="e">
        <v>#N/A</v>
      </c>
      <c r="H8" t="e">
        <f>VLOOKUP(C8,Sheet2!A:D,3,0)</f>
        <v>#N/A</v>
      </c>
      <c r="I8" t="e">
        <f>VLOOKUP(C8,Sheet2!A:D,4,0)</f>
        <v>#N/A</v>
      </c>
      <c r="J8" t="e">
        <v>#N/A</v>
      </c>
    </row>
    <row r="9" spans="1:10">
      <c r="A9" s="2" t="s">
        <v>27</v>
      </c>
      <c r="B9" s="2" t="s">
        <v>8</v>
      </c>
      <c r="C9" s="2" t="s">
        <v>28</v>
      </c>
      <c r="D9" s="2" t="s">
        <v>5</v>
      </c>
      <c r="E9" s="3" t="s">
        <v>14</v>
      </c>
      <c r="F9" s="3" t="s">
        <v>5</v>
      </c>
      <c r="G9" t="s">
        <v>14</v>
      </c>
      <c r="H9" t="e">
        <f>VLOOKUP(C9,Sheet2!A:D,3,0)</f>
        <v>#N/A</v>
      </c>
      <c r="I9" t="e">
        <f>VLOOKUP(C9,Sheet2!A:D,4,0)</f>
        <v>#N/A</v>
      </c>
      <c r="J9" t="e">
        <v>#N/A</v>
      </c>
    </row>
    <row r="10" spans="1:10">
      <c r="A10" s="2" t="s">
        <v>41</v>
      </c>
      <c r="B10" s="2" t="s">
        <v>8</v>
      </c>
      <c r="C10" s="2" t="s">
        <v>42</v>
      </c>
      <c r="D10" s="2" t="s">
        <v>5</v>
      </c>
      <c r="E10" s="3" t="s">
        <v>14</v>
      </c>
      <c r="F10" s="3" t="s">
        <v>5</v>
      </c>
      <c r="G10" t="s">
        <v>14</v>
      </c>
      <c r="H10" t="str">
        <f>VLOOKUP(C10,Sheet2!A:D,3,0)</f>
        <v>Access</v>
      </c>
      <c r="I10" t="str">
        <f>VLOOKUP(C10,Sheet2!A:D,4,0)</f>
        <v>No</v>
      </c>
      <c r="J10" t="e">
        <v>#N/A</v>
      </c>
    </row>
    <row r="11" spans="1:10">
      <c r="A11" s="2" t="s">
        <v>45</v>
      </c>
      <c r="B11" s="2" t="s">
        <v>8</v>
      </c>
      <c r="C11" s="2" t="s">
        <v>46</v>
      </c>
      <c r="D11" s="2" t="s">
        <v>5</v>
      </c>
      <c r="E11" s="3" t="s">
        <v>6</v>
      </c>
      <c r="F11" s="3" t="s">
        <v>5</v>
      </c>
      <c r="G11" t="s">
        <v>6</v>
      </c>
      <c r="H11" t="str">
        <f>VLOOKUP(C11,Sheet2!A:D,3,0)</f>
        <v>Access</v>
      </c>
      <c r="I11" t="str">
        <f>VLOOKUP(C11,Sheet2!A:D,4,0)</f>
        <v>Yes</v>
      </c>
      <c r="J11" t="s">
        <v>584</v>
      </c>
    </row>
    <row r="12" spans="1:10">
      <c r="A12" s="2" t="s">
        <v>47</v>
      </c>
      <c r="B12" s="2" t="s">
        <v>8</v>
      </c>
      <c r="C12" s="3" t="s">
        <v>48</v>
      </c>
      <c r="D12" s="3" t="s">
        <v>5</v>
      </c>
      <c r="E12" s="3" t="s">
        <v>14</v>
      </c>
      <c r="F12" s="3" t="e">
        <v>#N/A</v>
      </c>
      <c r="G12" t="e">
        <v>#N/A</v>
      </c>
      <c r="H12" t="e">
        <f>VLOOKUP(C12,Sheet2!A:D,3,0)</f>
        <v>#N/A</v>
      </c>
      <c r="I12" t="e">
        <f>VLOOKUP(C12,Sheet2!A:D,4,0)</f>
        <v>#N/A</v>
      </c>
      <c r="J12" t="e">
        <v>#N/A</v>
      </c>
    </row>
    <row r="13" spans="1:10">
      <c r="A13" s="2" t="s">
        <v>49</v>
      </c>
      <c r="B13" s="2" t="s">
        <v>8</v>
      </c>
      <c r="C13" s="2" t="s">
        <v>50</v>
      </c>
      <c r="D13" s="2" t="s">
        <v>5</v>
      </c>
      <c r="E13" s="3" t="s">
        <v>6</v>
      </c>
      <c r="F13" s="3" t="s">
        <v>5</v>
      </c>
      <c r="G13" t="s">
        <v>6</v>
      </c>
      <c r="H13" t="str">
        <f>VLOOKUP(C13,Sheet2!A:D,3,0)</f>
        <v>Access</v>
      </c>
      <c r="I13" t="str">
        <f>VLOOKUP(C13,Sheet2!A:D,4,0)</f>
        <v>Yes</v>
      </c>
      <c r="J13" t="s">
        <v>584</v>
      </c>
    </row>
    <row r="14" spans="1:10">
      <c r="A14" s="2" t="s">
        <v>54</v>
      </c>
      <c r="B14" s="2" t="s">
        <v>55</v>
      </c>
      <c r="C14" s="2" t="s">
        <v>56</v>
      </c>
      <c r="D14" s="2" t="s">
        <v>5</v>
      </c>
      <c r="E14" s="3" t="s">
        <v>14</v>
      </c>
      <c r="F14" s="3" t="s">
        <v>5</v>
      </c>
      <c r="G14" t="s">
        <v>14</v>
      </c>
      <c r="H14" t="e">
        <f>VLOOKUP(C14,Sheet2!A:D,3,0)</f>
        <v>#N/A</v>
      </c>
      <c r="I14" t="e">
        <f>VLOOKUP(C14,Sheet2!A:D,4,0)</f>
        <v>#N/A</v>
      </c>
      <c r="J14" t="e">
        <v>#N/A</v>
      </c>
    </row>
    <row r="15" spans="1:10">
      <c r="A15" s="2" t="s">
        <v>63</v>
      </c>
      <c r="B15" s="2" t="s">
        <v>64</v>
      </c>
      <c r="C15" s="2" t="s">
        <v>65</v>
      </c>
      <c r="D15" s="2" t="s">
        <v>5</v>
      </c>
      <c r="E15" s="3" t="s">
        <v>14</v>
      </c>
      <c r="F15" s="3" t="s">
        <v>5</v>
      </c>
      <c r="G15" t="s">
        <v>14</v>
      </c>
      <c r="H15" t="str">
        <f>VLOOKUP(C15,Sheet2!A:D,3,0)</f>
        <v>Access</v>
      </c>
      <c r="I15" t="str">
        <f>VLOOKUP(C15,Sheet2!A:D,4,0)</f>
        <v>No</v>
      </c>
      <c r="J15" t="e">
        <v>#N/A</v>
      </c>
    </row>
    <row r="16" spans="1:10">
      <c r="A16" s="2" t="s">
        <v>69</v>
      </c>
      <c r="B16" s="2" t="s">
        <v>64</v>
      </c>
      <c r="C16" s="2" t="s">
        <v>70</v>
      </c>
      <c r="D16" s="2" t="s">
        <v>5</v>
      </c>
      <c r="E16" s="3" t="s">
        <v>14</v>
      </c>
      <c r="F16" s="3" t="s">
        <v>5</v>
      </c>
      <c r="G16" t="s">
        <v>14</v>
      </c>
      <c r="H16" t="str">
        <f>VLOOKUP(C16,Sheet2!A:D,3,0)</f>
        <v>Access</v>
      </c>
      <c r="I16" t="str">
        <f>VLOOKUP(C16,Sheet2!A:D,4,0)</f>
        <v>No</v>
      </c>
      <c r="J16" t="e">
        <v>#N/A</v>
      </c>
    </row>
    <row r="17" spans="1:10">
      <c r="A17" s="2" t="s">
        <v>71</v>
      </c>
      <c r="B17" s="2" t="s">
        <v>64</v>
      </c>
      <c r="C17" s="2" t="s">
        <v>72</v>
      </c>
      <c r="D17" s="2" t="s">
        <v>5</v>
      </c>
      <c r="E17" s="3" t="s">
        <v>6</v>
      </c>
      <c r="F17" s="3" t="s">
        <v>5</v>
      </c>
      <c r="G17" t="s">
        <v>6</v>
      </c>
      <c r="H17" t="str">
        <f>VLOOKUP(C17,Sheet2!A:D,3,0)</f>
        <v>Access</v>
      </c>
      <c r="I17" t="str">
        <f>VLOOKUP(C17,Sheet2!A:D,4,0)</f>
        <v>Yes</v>
      </c>
      <c r="J17" t="s">
        <v>584</v>
      </c>
    </row>
    <row r="18" spans="1:10">
      <c r="A18" s="2" t="s">
        <v>73</v>
      </c>
      <c r="B18" s="2" t="s">
        <v>64</v>
      </c>
      <c r="C18" s="2" t="s">
        <v>74</v>
      </c>
      <c r="D18" s="2" t="s">
        <v>5</v>
      </c>
      <c r="E18" s="3" t="s">
        <v>14</v>
      </c>
      <c r="F18" s="3" t="s">
        <v>5</v>
      </c>
      <c r="G18" t="s">
        <v>14</v>
      </c>
      <c r="H18" t="e">
        <f>VLOOKUP(C18,Sheet2!A:D,3,0)</f>
        <v>#N/A</v>
      </c>
      <c r="I18" t="e">
        <f>VLOOKUP(C18,Sheet2!A:D,4,0)</f>
        <v>#N/A</v>
      </c>
      <c r="J18" t="e">
        <v>#N/A</v>
      </c>
    </row>
    <row r="19" spans="1:10">
      <c r="A19" s="2" t="s">
        <v>75</v>
      </c>
      <c r="B19" s="2" t="s">
        <v>64</v>
      </c>
      <c r="C19" s="2" t="s">
        <v>76</v>
      </c>
      <c r="D19" s="2" t="s">
        <v>5</v>
      </c>
      <c r="E19" s="3" t="s">
        <v>14</v>
      </c>
      <c r="F19" s="3" t="s">
        <v>5</v>
      </c>
      <c r="G19" t="s">
        <v>14</v>
      </c>
      <c r="H19" t="str">
        <f>VLOOKUP(C19,Sheet2!A:D,3,0)</f>
        <v>Access</v>
      </c>
      <c r="I19" t="str">
        <f>VLOOKUP(C19,Sheet2!A:D,4,0)</f>
        <v>No</v>
      </c>
      <c r="J19" t="e">
        <v>#N/A</v>
      </c>
    </row>
    <row r="20" spans="1:10">
      <c r="A20" s="2" t="s">
        <v>79</v>
      </c>
      <c r="B20" s="2" t="s">
        <v>64</v>
      </c>
      <c r="C20" s="2" t="s">
        <v>80</v>
      </c>
      <c r="D20" s="2" t="s">
        <v>5</v>
      </c>
      <c r="E20" s="3" t="s">
        <v>14</v>
      </c>
      <c r="F20" s="3" t="s">
        <v>5</v>
      </c>
      <c r="G20" t="s">
        <v>14</v>
      </c>
      <c r="H20" t="str">
        <f>VLOOKUP(C20,Sheet2!A:D,3,0)</f>
        <v>Access</v>
      </c>
      <c r="I20" t="str">
        <f>VLOOKUP(C20,Sheet2!A:D,4,0)</f>
        <v>No</v>
      </c>
      <c r="J20" t="e">
        <v>#N/A</v>
      </c>
    </row>
    <row r="21" spans="1:10">
      <c r="A21" s="2" t="s">
        <v>81</v>
      </c>
      <c r="B21" s="2" t="s">
        <v>64</v>
      </c>
      <c r="C21" s="2" t="s">
        <v>82</v>
      </c>
      <c r="D21" s="2" t="s">
        <v>5</v>
      </c>
      <c r="E21" s="3" t="s">
        <v>14</v>
      </c>
      <c r="F21" s="3" t="s">
        <v>5</v>
      </c>
      <c r="G21" t="s">
        <v>14</v>
      </c>
      <c r="H21" t="str">
        <f>VLOOKUP(C21,Sheet2!A:D,3,0)</f>
        <v>Access</v>
      </c>
      <c r="I21" t="str">
        <f>VLOOKUP(C21,Sheet2!A:D,4,0)</f>
        <v>No</v>
      </c>
      <c r="J21" t="e">
        <v>#N/A</v>
      </c>
    </row>
    <row r="22" spans="1:10">
      <c r="A22" s="2" t="s">
        <v>83</v>
      </c>
      <c r="B22" s="2" t="s">
        <v>64</v>
      </c>
      <c r="C22" s="2" t="s">
        <v>84</v>
      </c>
      <c r="D22" s="2" t="s">
        <v>5</v>
      </c>
      <c r="E22" s="3" t="s">
        <v>14</v>
      </c>
      <c r="F22" s="3" t="s">
        <v>5</v>
      </c>
      <c r="G22" t="s">
        <v>14</v>
      </c>
      <c r="H22" t="str">
        <f>VLOOKUP(C22,Sheet2!A:D,3,0)</f>
        <v>Access</v>
      </c>
      <c r="I22" t="str">
        <f>VLOOKUP(C22,Sheet2!A:D,4,0)</f>
        <v>No</v>
      </c>
      <c r="J22" t="e">
        <v>#N/A</v>
      </c>
    </row>
    <row r="23" spans="1:10">
      <c r="A23" s="2" t="s">
        <v>85</v>
      </c>
      <c r="B23" s="2" t="s">
        <v>64</v>
      </c>
      <c r="C23" s="2" t="s">
        <v>86</v>
      </c>
      <c r="D23" s="2" t="s">
        <v>5</v>
      </c>
      <c r="E23" s="3" t="s">
        <v>6</v>
      </c>
      <c r="F23" s="3" t="s">
        <v>5</v>
      </c>
      <c r="G23" t="s">
        <v>6</v>
      </c>
      <c r="H23" t="str">
        <f>VLOOKUP(C23,Sheet2!A:D,3,0)</f>
        <v>Access</v>
      </c>
      <c r="I23" t="str">
        <f>VLOOKUP(C23,Sheet2!A:D,4,0)</f>
        <v>Yes</v>
      </c>
      <c r="J23" t="s">
        <v>584</v>
      </c>
    </row>
    <row r="24" spans="1:10">
      <c r="A24" s="2" t="s">
        <v>140</v>
      </c>
      <c r="B24" s="2" t="s">
        <v>64</v>
      </c>
      <c r="C24" s="2" t="s">
        <v>141</v>
      </c>
      <c r="D24" s="2" t="s">
        <v>5</v>
      </c>
      <c r="E24" s="3" t="s">
        <v>14</v>
      </c>
      <c r="F24" s="3" t="s">
        <v>5</v>
      </c>
      <c r="G24" t="s">
        <v>14</v>
      </c>
      <c r="H24" t="str">
        <f>VLOOKUP(C24,Sheet2!A:D,3,0)</f>
        <v>Access</v>
      </c>
      <c r="I24" t="str">
        <f>VLOOKUP(C24,Sheet2!A:D,4,0)</f>
        <v>No</v>
      </c>
      <c r="J24" t="e">
        <v>#N/A</v>
      </c>
    </row>
    <row r="25" spans="1:10">
      <c r="A25" s="2" t="s">
        <v>142</v>
      </c>
      <c r="B25" s="2" t="s">
        <v>64</v>
      </c>
      <c r="C25" s="2" t="s">
        <v>143</v>
      </c>
      <c r="D25" s="2" t="s">
        <v>5</v>
      </c>
      <c r="E25" s="3" t="s">
        <v>14</v>
      </c>
      <c r="F25" s="3" t="s">
        <v>5</v>
      </c>
      <c r="G25" t="s">
        <v>14</v>
      </c>
      <c r="H25" t="str">
        <f>VLOOKUP(C25,Sheet2!A:D,3,0)</f>
        <v>Access</v>
      </c>
      <c r="I25" t="str">
        <f>VLOOKUP(C25,Sheet2!A:D,4,0)</f>
        <v>No</v>
      </c>
      <c r="J25" t="e">
        <v>#N/A</v>
      </c>
    </row>
    <row r="26" spans="1:10">
      <c r="A26" s="2" t="s">
        <v>155</v>
      </c>
      <c r="B26" s="2" t="s">
        <v>64</v>
      </c>
      <c r="C26" s="2" t="s">
        <v>156</v>
      </c>
      <c r="D26" s="2" t="s">
        <v>5</v>
      </c>
      <c r="E26" s="3" t="s">
        <v>14</v>
      </c>
      <c r="F26" s="3" t="s">
        <v>5</v>
      </c>
      <c r="G26" t="s">
        <v>14</v>
      </c>
      <c r="H26" t="str">
        <f>VLOOKUP(C26,Sheet2!A:D,3,0)</f>
        <v>Access</v>
      </c>
      <c r="I26" t="str">
        <f>VLOOKUP(C26,Sheet2!A:D,4,0)</f>
        <v>No</v>
      </c>
      <c r="J26" t="e">
        <v>#N/A</v>
      </c>
    </row>
    <row r="27" spans="1:10">
      <c r="A27" s="2" t="s">
        <v>169</v>
      </c>
      <c r="B27" s="2" t="s">
        <v>170</v>
      </c>
      <c r="C27" s="2" t="s">
        <v>171</v>
      </c>
      <c r="D27" s="2" t="s">
        <v>5</v>
      </c>
      <c r="E27" s="3" t="s">
        <v>6</v>
      </c>
      <c r="F27" s="3" t="s">
        <v>5</v>
      </c>
      <c r="G27" t="s">
        <v>6</v>
      </c>
      <c r="H27" t="str">
        <f>VLOOKUP(C27,Sheet2!A:D,3,0)</f>
        <v>Access</v>
      </c>
      <c r="I27" t="str">
        <f>VLOOKUP(C27,Sheet2!A:D,4,0)</f>
        <v>Yes</v>
      </c>
      <c r="J27" t="s">
        <v>584</v>
      </c>
    </row>
    <row r="28" spans="1:10">
      <c r="A28" s="2" t="s">
        <v>183</v>
      </c>
      <c r="B28" s="2" t="s">
        <v>184</v>
      </c>
      <c r="C28" s="2" t="s">
        <v>185</v>
      </c>
      <c r="D28" s="2" t="s">
        <v>5</v>
      </c>
      <c r="E28" s="3" t="s">
        <v>6</v>
      </c>
      <c r="F28" s="3" t="s">
        <v>5</v>
      </c>
      <c r="G28" t="s">
        <v>6</v>
      </c>
      <c r="H28" t="e">
        <f>VLOOKUP(C28,Sheet2!A:D,3,0)</f>
        <v>#N/A</v>
      </c>
      <c r="I28" t="e">
        <f>VLOOKUP(C28,Sheet2!A:D,4,0)</f>
        <v>#N/A</v>
      </c>
      <c r="J28" t="s">
        <v>584</v>
      </c>
    </row>
    <row r="29" spans="1:10">
      <c r="A29" s="2" t="s">
        <v>189</v>
      </c>
      <c r="B29" s="2" t="s">
        <v>8</v>
      </c>
      <c r="C29" s="2" t="s">
        <v>190</v>
      </c>
      <c r="D29" s="2" t="s">
        <v>5</v>
      </c>
      <c r="E29" s="3" t="s">
        <v>14</v>
      </c>
      <c r="F29" s="3" t="s">
        <v>5</v>
      </c>
      <c r="G29" t="s">
        <v>14</v>
      </c>
      <c r="H29" t="str">
        <f>VLOOKUP(C29,Sheet2!A:D,3,0)</f>
        <v>Access</v>
      </c>
      <c r="I29" t="str">
        <f>VLOOKUP(C29,Sheet2!A:D,4,0)</f>
        <v>No</v>
      </c>
      <c r="J29" t="e">
        <v>#N/A</v>
      </c>
    </row>
    <row r="30" spans="1:10">
      <c r="A30" s="2" t="s">
        <v>193</v>
      </c>
      <c r="B30" s="2" t="s">
        <v>8</v>
      </c>
      <c r="C30" s="2" t="s">
        <v>194</v>
      </c>
      <c r="D30" s="2" t="s">
        <v>5</v>
      </c>
      <c r="E30" s="3" t="s">
        <v>6</v>
      </c>
      <c r="F30" s="3" t="s">
        <v>5</v>
      </c>
      <c r="G30" t="s">
        <v>6</v>
      </c>
      <c r="H30" t="str">
        <f>VLOOKUP(C30,Sheet2!A:D,3,0)</f>
        <v>Access</v>
      </c>
      <c r="I30" t="str">
        <f>VLOOKUP(C30,Sheet2!A:D,4,0)</f>
        <v>Yes</v>
      </c>
      <c r="J30" t="s">
        <v>584</v>
      </c>
    </row>
    <row r="31" spans="1:10">
      <c r="A31" s="2" t="s">
        <v>215</v>
      </c>
      <c r="B31" s="2" t="s">
        <v>8</v>
      </c>
      <c r="C31" s="2" t="s">
        <v>216</v>
      </c>
      <c r="D31" s="2" t="s">
        <v>5</v>
      </c>
      <c r="E31" s="3" t="s">
        <v>6</v>
      </c>
      <c r="F31" s="3" t="s">
        <v>5</v>
      </c>
      <c r="G31" t="s">
        <v>14</v>
      </c>
      <c r="H31" t="str">
        <f>VLOOKUP(C31,Sheet2!A:D,3,0)</f>
        <v>Access</v>
      </c>
      <c r="I31" t="str">
        <f>VLOOKUP(C31,Sheet2!A:D,4,0)</f>
        <v>No</v>
      </c>
      <c r="J31" t="e">
        <v>#N/A</v>
      </c>
    </row>
    <row r="32" spans="1:10">
      <c r="A32" s="2" t="s">
        <v>221</v>
      </c>
      <c r="B32" s="2" t="s">
        <v>173</v>
      </c>
      <c r="C32" s="2" t="s">
        <v>222</v>
      </c>
      <c r="D32" s="2" t="s">
        <v>5</v>
      </c>
      <c r="E32" s="3" t="s">
        <v>6</v>
      </c>
      <c r="F32" s="3" t="s">
        <v>5</v>
      </c>
      <c r="G32" t="s">
        <v>6</v>
      </c>
      <c r="H32" t="str">
        <f>VLOOKUP(C32,Sheet2!A:D,3,0)</f>
        <v>Access</v>
      </c>
      <c r="I32" t="str">
        <f>VLOOKUP(C32,Sheet2!A:D,4,0)</f>
        <v>Yes</v>
      </c>
      <c r="J32" t="s">
        <v>584</v>
      </c>
    </row>
    <row r="33" spans="1:10">
      <c r="A33" s="2" t="s">
        <v>225</v>
      </c>
      <c r="B33" s="2" t="s">
        <v>8</v>
      </c>
      <c r="C33" s="2" t="s">
        <v>226</v>
      </c>
      <c r="D33" s="2" t="s">
        <v>5</v>
      </c>
      <c r="E33" s="2" t="s">
        <v>14</v>
      </c>
      <c r="F33" s="3" t="s">
        <v>5</v>
      </c>
      <c r="G33" t="s">
        <v>14</v>
      </c>
      <c r="H33" t="e">
        <f>VLOOKUP(C33,Sheet2!A:D,3,0)</f>
        <v>#N/A</v>
      </c>
      <c r="I33" t="e">
        <f>VLOOKUP(C33,Sheet2!A:D,4,0)</f>
        <v>#N/A</v>
      </c>
      <c r="J33" t="e">
        <v>#N/A</v>
      </c>
    </row>
    <row r="34" spans="1:10">
      <c r="A34" s="2" t="s">
        <v>242</v>
      </c>
      <c r="B34" s="2" t="s">
        <v>8</v>
      </c>
      <c r="C34" s="2" t="s">
        <v>243</v>
      </c>
      <c r="D34" s="2" t="s">
        <v>5</v>
      </c>
      <c r="E34" s="3" t="s">
        <v>6</v>
      </c>
      <c r="F34" s="3" t="s">
        <v>5</v>
      </c>
      <c r="G34" t="s">
        <v>14</v>
      </c>
      <c r="H34" t="str">
        <f>VLOOKUP(C34,Sheet2!A:D,3,0)</f>
        <v>Access</v>
      </c>
      <c r="I34" t="str">
        <f>VLOOKUP(C34,Sheet2!A:D,4,0)</f>
        <v>No</v>
      </c>
      <c r="J34" t="e">
        <v>#N/A</v>
      </c>
    </row>
    <row r="35" spans="1:10">
      <c r="A35" s="2" t="s">
        <v>252</v>
      </c>
      <c r="B35" s="2" t="s">
        <v>253</v>
      </c>
      <c r="C35" s="2" t="s">
        <v>254</v>
      </c>
      <c r="D35" s="2" t="s">
        <v>5</v>
      </c>
      <c r="E35" s="3" t="s">
        <v>14</v>
      </c>
      <c r="F35" s="3" t="s">
        <v>5</v>
      </c>
      <c r="G35" t="s">
        <v>14</v>
      </c>
      <c r="H35" t="e">
        <f>VLOOKUP(C35,Sheet2!A:D,3,0)</f>
        <v>#N/A</v>
      </c>
      <c r="I35" t="e">
        <f>VLOOKUP(C35,Sheet2!A:D,4,0)</f>
        <v>#N/A</v>
      </c>
      <c r="J35" t="e">
        <v>#N/A</v>
      </c>
    </row>
    <row r="36" spans="1:10">
      <c r="A36" s="2" t="s">
        <v>264</v>
      </c>
      <c r="B36" s="2" t="s">
        <v>4</v>
      </c>
      <c r="C36" s="2" t="s">
        <v>265</v>
      </c>
      <c r="D36" s="2" t="s">
        <v>5</v>
      </c>
      <c r="E36" s="3" t="s">
        <v>6</v>
      </c>
      <c r="F36" s="3" t="s">
        <v>5</v>
      </c>
      <c r="G36" t="s">
        <v>6</v>
      </c>
      <c r="H36" t="str">
        <f>VLOOKUP(C36,Sheet2!A:D,3,0)</f>
        <v>Access</v>
      </c>
      <c r="I36" t="str">
        <f>VLOOKUP(C36,Sheet2!A:D,4,0)</f>
        <v>Yes</v>
      </c>
      <c r="J36" t="s">
        <v>584</v>
      </c>
    </row>
    <row r="37" spans="1:10">
      <c r="A37" s="2" t="s">
        <v>271</v>
      </c>
      <c r="B37" s="2" t="s">
        <v>8</v>
      </c>
      <c r="C37" s="2" t="s">
        <v>272</v>
      </c>
      <c r="D37" s="2" t="s">
        <v>5</v>
      </c>
      <c r="E37" s="3" t="s">
        <v>14</v>
      </c>
      <c r="F37" s="3" t="s">
        <v>5</v>
      </c>
      <c r="G37" t="s">
        <v>14</v>
      </c>
      <c r="H37" t="e">
        <f>VLOOKUP(C37,Sheet2!A:D,3,0)</f>
        <v>#N/A</v>
      </c>
      <c r="I37" t="e">
        <f>VLOOKUP(C37,Sheet2!A:D,4,0)</f>
        <v>#N/A</v>
      </c>
      <c r="J37" t="e">
        <v>#N/A</v>
      </c>
    </row>
    <row r="38" spans="1:10">
      <c r="A38" s="2" t="s">
        <v>309</v>
      </c>
      <c r="B38" s="2" t="s">
        <v>8</v>
      </c>
      <c r="C38" s="2" t="s">
        <v>310</v>
      </c>
      <c r="D38" s="2" t="s">
        <v>5</v>
      </c>
      <c r="E38" s="3" t="s">
        <v>14</v>
      </c>
      <c r="F38" s="3" t="s">
        <v>5</v>
      </c>
      <c r="G38" t="s">
        <v>14</v>
      </c>
      <c r="H38" t="str">
        <f>VLOOKUP(C38,Sheet2!A:D,3,0)</f>
        <v>Access</v>
      </c>
      <c r="I38" t="str">
        <f>VLOOKUP(C38,Sheet2!A:D,4,0)</f>
        <v>No</v>
      </c>
      <c r="J38" t="e">
        <v>#N/A</v>
      </c>
    </row>
    <row r="39" spans="1:10">
      <c r="A39" s="2" t="s">
        <v>317</v>
      </c>
      <c r="B39" s="2" t="s">
        <v>8</v>
      </c>
      <c r="C39" s="2" t="s">
        <v>318</v>
      </c>
      <c r="D39" s="2" t="s">
        <v>5</v>
      </c>
      <c r="E39" s="3" t="s">
        <v>14</v>
      </c>
      <c r="F39" s="3" t="s">
        <v>5</v>
      </c>
      <c r="G39" t="s">
        <v>14</v>
      </c>
      <c r="H39" t="e">
        <f>VLOOKUP(C39,Sheet2!A:D,3,0)</f>
        <v>#N/A</v>
      </c>
      <c r="I39" t="e">
        <f>VLOOKUP(C39,Sheet2!A:D,4,0)</f>
        <v>#N/A</v>
      </c>
      <c r="J39" t="e">
        <v>#N/A</v>
      </c>
    </row>
    <row r="40" spans="1:10">
      <c r="A40" s="2" t="s">
        <v>319</v>
      </c>
      <c r="B40" s="2" t="s">
        <v>8</v>
      </c>
      <c r="C40" s="2" t="s">
        <v>320</v>
      </c>
      <c r="D40" s="2" t="s">
        <v>5</v>
      </c>
      <c r="E40" s="3" t="s">
        <v>6</v>
      </c>
      <c r="F40" s="3" t="s">
        <v>5</v>
      </c>
      <c r="G40" t="s">
        <v>14</v>
      </c>
      <c r="H40" t="e">
        <f>VLOOKUP(C40,Sheet2!A:D,3,0)</f>
        <v>#N/A</v>
      </c>
      <c r="I40" t="e">
        <f>VLOOKUP(C40,Sheet2!A:D,4,0)</f>
        <v>#N/A</v>
      </c>
      <c r="J40" t="e">
        <v>#N/A</v>
      </c>
    </row>
    <row r="41" spans="1:10">
      <c r="A41" s="2" t="s">
        <v>321</v>
      </c>
      <c r="B41" s="2" t="s">
        <v>25</v>
      </c>
      <c r="C41" s="2" t="s">
        <v>322</v>
      </c>
      <c r="D41" s="2" t="s">
        <v>5</v>
      </c>
      <c r="E41" s="3" t="s">
        <v>6</v>
      </c>
      <c r="F41" s="3" t="s">
        <v>5</v>
      </c>
      <c r="G41" t="s">
        <v>6</v>
      </c>
      <c r="H41" t="str">
        <f>VLOOKUP(C41,Sheet2!A:D,3,0)</f>
        <v>Access</v>
      </c>
      <c r="I41" t="str">
        <f>VLOOKUP(C41,Sheet2!A:D,4,0)</f>
        <v>Yes</v>
      </c>
      <c r="J41" t="e">
        <v>#N/A</v>
      </c>
    </row>
    <row r="42" spans="1:10">
      <c r="A42" s="2" t="s">
        <v>323</v>
      </c>
      <c r="B42" s="2" t="s">
        <v>25</v>
      </c>
      <c r="C42" s="2" t="s">
        <v>324</v>
      </c>
      <c r="D42" s="2" t="s">
        <v>5</v>
      </c>
      <c r="E42" s="3" t="s">
        <v>6</v>
      </c>
      <c r="F42" s="3" t="s">
        <v>5</v>
      </c>
      <c r="G42" t="s">
        <v>6</v>
      </c>
      <c r="H42" t="str">
        <f>VLOOKUP(C42,Sheet2!A:D,3,0)</f>
        <v>Access</v>
      </c>
      <c r="I42" t="str">
        <f>VLOOKUP(C42,Sheet2!A:D,4,0)</f>
        <v>Yes</v>
      </c>
      <c r="J42" t="s">
        <v>584</v>
      </c>
    </row>
    <row r="43" spans="1:10">
      <c r="A43" s="2" t="s">
        <v>337</v>
      </c>
      <c r="B43" s="2" t="s">
        <v>8</v>
      </c>
      <c r="C43" s="2" t="s">
        <v>338</v>
      </c>
      <c r="D43" s="2" t="s">
        <v>5</v>
      </c>
      <c r="E43" s="3" t="s">
        <v>6</v>
      </c>
      <c r="F43" s="3" t="s">
        <v>5</v>
      </c>
      <c r="G43" t="s">
        <v>14</v>
      </c>
      <c r="H43" t="str">
        <f>VLOOKUP(C43,Sheet2!A:D,3,0)</f>
        <v>Access</v>
      </c>
      <c r="I43" t="str">
        <f>VLOOKUP(C43,Sheet2!A:D,4,0)</f>
        <v>No</v>
      </c>
      <c r="J43" t="e">
        <v>#N/A</v>
      </c>
    </row>
    <row r="44" spans="1:10">
      <c r="A44" s="2" t="s">
        <v>349</v>
      </c>
      <c r="B44" s="2" t="s">
        <v>253</v>
      </c>
      <c r="C44" s="2" t="s">
        <v>350</v>
      </c>
      <c r="D44" s="2" t="s">
        <v>5</v>
      </c>
      <c r="E44" s="3" t="s">
        <v>14</v>
      </c>
      <c r="F44" s="3" t="s">
        <v>5</v>
      </c>
      <c r="G44" t="s">
        <v>14</v>
      </c>
      <c r="H44" t="e">
        <f>VLOOKUP(C44,Sheet2!A:D,3,0)</f>
        <v>#N/A</v>
      </c>
      <c r="I44" t="e">
        <f>VLOOKUP(C44,Sheet2!A:D,4,0)</f>
        <v>#N/A</v>
      </c>
      <c r="J44" t="e">
        <v>#N/A</v>
      </c>
    </row>
    <row r="45" spans="1:10">
      <c r="A45" s="2" t="s">
        <v>351</v>
      </c>
      <c r="B45" s="3" t="s">
        <v>25</v>
      </c>
      <c r="C45" s="3" t="s">
        <v>352</v>
      </c>
      <c r="D45" s="3" t="s">
        <v>5</v>
      </c>
      <c r="E45" s="3" t="s">
        <v>14</v>
      </c>
      <c r="F45" s="3" t="e">
        <v>#N/A</v>
      </c>
      <c r="G45" t="e">
        <v>#N/A</v>
      </c>
      <c r="H45" t="e">
        <f>VLOOKUP(C45,Sheet2!A:D,3,0)</f>
        <v>#N/A</v>
      </c>
      <c r="I45" t="e">
        <f>VLOOKUP(C45,Sheet2!A:D,4,0)</f>
        <v>#N/A</v>
      </c>
      <c r="J45" t="e">
        <v>#N/A</v>
      </c>
    </row>
    <row r="46" spans="1:10">
      <c r="A46" s="2" t="s">
        <v>353</v>
      </c>
      <c r="B46" s="2" t="s">
        <v>253</v>
      </c>
      <c r="C46" s="2" t="s">
        <v>354</v>
      </c>
      <c r="D46" s="2" t="s">
        <v>5</v>
      </c>
      <c r="E46" s="3" t="s">
        <v>6</v>
      </c>
      <c r="F46" s="3" t="s">
        <v>5</v>
      </c>
      <c r="G46" t="s">
        <v>6</v>
      </c>
      <c r="H46" t="str">
        <f>VLOOKUP(C46,Sheet2!A:D,3,0)</f>
        <v>Access</v>
      </c>
      <c r="I46" t="str">
        <f>VLOOKUP(C46,Sheet2!A:D,4,0)</f>
        <v>Yes</v>
      </c>
      <c r="J46" t="s">
        <v>584</v>
      </c>
    </row>
    <row r="47" spans="1:10">
      <c r="A47" s="2" t="s">
        <v>365</v>
      </c>
      <c r="B47" s="2" t="s">
        <v>25</v>
      </c>
      <c r="C47" s="2" t="s">
        <v>366</v>
      </c>
      <c r="D47" s="2" t="s">
        <v>5</v>
      </c>
      <c r="E47" s="3" t="s">
        <v>14</v>
      </c>
      <c r="F47" s="3" t="s">
        <v>5</v>
      </c>
      <c r="G47" t="s">
        <v>14</v>
      </c>
      <c r="H47" t="e">
        <f>VLOOKUP(C47,Sheet2!A:D,3,0)</f>
        <v>#N/A</v>
      </c>
      <c r="I47" t="e">
        <f>VLOOKUP(C47,Sheet2!A:D,4,0)</f>
        <v>#N/A</v>
      </c>
      <c r="J47" t="e">
        <v>#N/A</v>
      </c>
    </row>
    <row r="48" spans="1:10">
      <c r="A48" s="2" t="s">
        <v>367</v>
      </c>
      <c r="B48" s="2" t="s">
        <v>25</v>
      </c>
      <c r="C48" s="2" t="s">
        <v>368</v>
      </c>
      <c r="D48" s="2" t="s">
        <v>5</v>
      </c>
      <c r="E48" s="3" t="s">
        <v>14</v>
      </c>
      <c r="F48" s="3" t="s">
        <v>5</v>
      </c>
      <c r="G48" t="s">
        <v>14</v>
      </c>
      <c r="H48" t="e">
        <f>VLOOKUP(C48,Sheet2!A:D,3,0)</f>
        <v>#N/A</v>
      </c>
      <c r="I48" t="e">
        <f>VLOOKUP(C48,Sheet2!A:D,4,0)</f>
        <v>#N/A</v>
      </c>
      <c r="J48" t="e">
        <v>#N/A</v>
      </c>
    </row>
    <row r="49" spans="1:10">
      <c r="A49" s="2" t="s">
        <v>369</v>
      </c>
      <c r="B49" s="2" t="s">
        <v>8</v>
      </c>
      <c r="C49" s="2" t="s">
        <v>370</v>
      </c>
      <c r="D49" s="2" t="s">
        <v>5</v>
      </c>
      <c r="E49" s="3" t="s">
        <v>6</v>
      </c>
      <c r="F49" s="3" t="s">
        <v>5</v>
      </c>
      <c r="G49" t="s">
        <v>14</v>
      </c>
      <c r="H49" t="str">
        <f>VLOOKUP(C49,Sheet2!A:D,3,0)</f>
        <v>Access</v>
      </c>
      <c r="I49" t="str">
        <f>VLOOKUP(C49,Sheet2!A:D,4,0)</f>
        <v>No</v>
      </c>
      <c r="J49" t="e">
        <v>#N/A</v>
      </c>
    </row>
    <row r="50" spans="1:10">
      <c r="A50" s="2" t="s">
        <v>383</v>
      </c>
      <c r="B50" s="2" t="s">
        <v>8</v>
      </c>
      <c r="C50" s="2" t="s">
        <v>384</v>
      </c>
      <c r="D50" s="2" t="s">
        <v>5</v>
      </c>
      <c r="E50" s="3" t="s">
        <v>14</v>
      </c>
      <c r="F50" s="3" t="s">
        <v>5</v>
      </c>
      <c r="G50" t="s">
        <v>14</v>
      </c>
      <c r="H50" t="str">
        <f>VLOOKUP(C50,Sheet2!A:D,3,0)</f>
        <v>Access</v>
      </c>
      <c r="I50" t="str">
        <f>VLOOKUP(C50,Sheet2!A:D,4,0)</f>
        <v>No</v>
      </c>
      <c r="J50" t="e">
        <v>#N/A</v>
      </c>
    </row>
    <row r="51" spans="1:10">
      <c r="A51" s="2" t="s">
        <v>389</v>
      </c>
      <c r="B51" s="2" t="s">
        <v>8</v>
      </c>
      <c r="C51" s="2" t="s">
        <v>390</v>
      </c>
      <c r="D51" s="2" t="s">
        <v>5</v>
      </c>
      <c r="E51" s="3" t="s">
        <v>6</v>
      </c>
      <c r="F51" s="3" t="s">
        <v>5</v>
      </c>
      <c r="G51" t="s">
        <v>6</v>
      </c>
      <c r="H51" t="str">
        <f>VLOOKUP(C51,Sheet2!A:D,3,0)</f>
        <v>Access</v>
      </c>
      <c r="I51" t="str">
        <f>VLOOKUP(C51,Sheet2!A:D,4,0)</f>
        <v>Yes</v>
      </c>
      <c r="J51" t="s">
        <v>584</v>
      </c>
    </row>
    <row r="52" spans="1:10">
      <c r="A52" s="2" t="s">
        <v>400</v>
      </c>
      <c r="B52" s="2" t="s">
        <v>8</v>
      </c>
      <c r="C52" s="2" t="s">
        <v>401</v>
      </c>
      <c r="D52" s="2" t="s">
        <v>5</v>
      </c>
      <c r="E52" s="3" t="s">
        <v>14</v>
      </c>
      <c r="F52" s="3" t="s">
        <v>5</v>
      </c>
      <c r="G52" t="s">
        <v>14</v>
      </c>
      <c r="H52" t="str">
        <f>VLOOKUP(C52,Sheet2!A:D,3,0)</f>
        <v>Access</v>
      </c>
      <c r="I52" t="str">
        <f>VLOOKUP(C52,Sheet2!A:D,4,0)</f>
        <v>No</v>
      </c>
      <c r="J52" t="e">
        <v>#N/A</v>
      </c>
    </row>
    <row r="53" spans="1:10">
      <c r="A53" s="2" t="s">
        <v>402</v>
      </c>
      <c r="B53" s="2" t="s">
        <v>8</v>
      </c>
      <c r="C53" s="2" t="s">
        <v>403</v>
      </c>
      <c r="D53" s="2" t="s">
        <v>5</v>
      </c>
      <c r="E53" s="3" t="s">
        <v>14</v>
      </c>
      <c r="F53" s="3" t="s">
        <v>5</v>
      </c>
      <c r="G53" t="s">
        <v>14</v>
      </c>
      <c r="H53" t="str">
        <f>VLOOKUP(C53,Sheet2!A:D,3,0)</f>
        <v>Access</v>
      </c>
      <c r="I53" t="str">
        <f>VLOOKUP(C53,Sheet2!A:D,4,0)</f>
        <v>No</v>
      </c>
      <c r="J53" t="e">
        <v>#N/A</v>
      </c>
    </row>
    <row r="54" spans="1:10">
      <c r="A54" s="2" t="s">
        <v>412</v>
      </c>
      <c r="B54" s="2" t="s">
        <v>8</v>
      </c>
      <c r="C54" s="2" t="s">
        <v>413</v>
      </c>
      <c r="D54" s="2" t="s">
        <v>5</v>
      </c>
      <c r="E54" s="3" t="s">
        <v>6</v>
      </c>
      <c r="F54" s="3" t="s">
        <v>5</v>
      </c>
      <c r="G54" t="s">
        <v>6</v>
      </c>
      <c r="H54" t="str">
        <f>VLOOKUP(C54,Sheet2!A:D,3,0)</f>
        <v>Access</v>
      </c>
      <c r="I54" t="str">
        <f>VLOOKUP(C54,Sheet2!A:D,4,0)</f>
        <v>Yes</v>
      </c>
      <c r="J54" t="s">
        <v>584</v>
      </c>
    </row>
    <row r="55" spans="1:10">
      <c r="A55" s="2" t="s">
        <v>414</v>
      </c>
      <c r="B55" s="3" t="s">
        <v>25</v>
      </c>
      <c r="C55" s="3" t="s">
        <v>415</v>
      </c>
      <c r="D55" s="3" t="s">
        <v>5</v>
      </c>
      <c r="E55" s="3" t="s">
        <v>14</v>
      </c>
      <c r="F55" s="3" t="e">
        <v>#N/A</v>
      </c>
      <c r="G55" t="e">
        <v>#N/A</v>
      </c>
      <c r="H55" t="e">
        <f>VLOOKUP(C55,Sheet2!A:D,3,0)</f>
        <v>#N/A</v>
      </c>
      <c r="I55" t="e">
        <f>VLOOKUP(C55,Sheet2!A:D,4,0)</f>
        <v>#N/A</v>
      </c>
      <c r="J55" t="e">
        <v>#N/A</v>
      </c>
    </row>
    <row r="56" spans="1:10">
      <c r="A56" s="2" t="s">
        <v>416</v>
      </c>
      <c r="B56" s="2" t="s">
        <v>8</v>
      </c>
      <c r="C56" s="2" t="s">
        <v>417</v>
      </c>
      <c r="D56" s="2" t="s">
        <v>5</v>
      </c>
      <c r="E56" s="3" t="s">
        <v>14</v>
      </c>
      <c r="F56" s="3" t="s">
        <v>5</v>
      </c>
      <c r="G56" t="s">
        <v>14</v>
      </c>
      <c r="H56" t="e">
        <f>VLOOKUP(C56,Sheet2!A:D,3,0)</f>
        <v>#N/A</v>
      </c>
      <c r="I56" t="e">
        <f>VLOOKUP(C56,Sheet2!A:D,4,0)</f>
        <v>#N/A</v>
      </c>
      <c r="J56" t="e">
        <v>#N/A</v>
      </c>
    </row>
    <row r="57" spans="1:10">
      <c r="A57" s="2" t="s">
        <v>445</v>
      </c>
      <c r="B57" s="3" t="s">
        <v>25</v>
      </c>
      <c r="C57" s="3" t="s">
        <v>446</v>
      </c>
      <c r="D57" s="3" t="s">
        <v>5</v>
      </c>
      <c r="E57" s="3" t="s">
        <v>14</v>
      </c>
      <c r="F57" s="3" t="e">
        <v>#N/A</v>
      </c>
      <c r="G57" t="e">
        <v>#N/A</v>
      </c>
      <c r="H57" t="e">
        <f>VLOOKUP(C57,Sheet2!A:D,3,0)</f>
        <v>#N/A</v>
      </c>
      <c r="I57" t="e">
        <f>VLOOKUP(C57,Sheet2!A:D,4,0)</f>
        <v>#N/A</v>
      </c>
      <c r="J57" t="e">
        <v>#N/A</v>
      </c>
    </row>
    <row r="58" spans="1:10">
      <c r="A58" s="2" t="s">
        <v>447</v>
      </c>
      <c r="B58" s="2" t="s">
        <v>25</v>
      </c>
      <c r="C58" s="2" t="s">
        <v>448</v>
      </c>
      <c r="D58" s="2" t="s">
        <v>5</v>
      </c>
      <c r="E58" s="3" t="s">
        <v>14</v>
      </c>
      <c r="F58" s="3" t="s">
        <v>5</v>
      </c>
      <c r="G58" t="s">
        <v>14</v>
      </c>
      <c r="H58" t="e">
        <f>VLOOKUP(C58,Sheet2!A:D,3,0)</f>
        <v>#N/A</v>
      </c>
      <c r="I58" t="e">
        <f>VLOOKUP(C58,Sheet2!A:D,4,0)</f>
        <v>#N/A</v>
      </c>
      <c r="J58" t="e">
        <v>#N/A</v>
      </c>
    </row>
    <row r="59" spans="1:10">
      <c r="A59" s="2" t="s">
        <v>457</v>
      </c>
      <c r="B59" s="2" t="s">
        <v>458</v>
      </c>
      <c r="C59" s="2" t="s">
        <v>459</v>
      </c>
      <c r="D59" s="2" t="s">
        <v>5</v>
      </c>
      <c r="E59" s="3" t="s">
        <v>6</v>
      </c>
      <c r="F59" s="3" t="s">
        <v>5</v>
      </c>
      <c r="G59" t="s">
        <v>6</v>
      </c>
      <c r="H59" t="str">
        <f>VLOOKUP(C59,Sheet2!A:D,3,0)</f>
        <v>Access</v>
      </c>
      <c r="I59" t="str">
        <f>VLOOKUP(C59,Sheet2!A:D,4,0)</f>
        <v>Yes</v>
      </c>
      <c r="J59" t="s">
        <v>584</v>
      </c>
    </row>
    <row r="60" spans="1:10">
      <c r="A60" s="2" t="s">
        <v>468</v>
      </c>
      <c r="B60" s="2" t="s">
        <v>469</v>
      </c>
      <c r="C60" s="2" t="s">
        <v>470</v>
      </c>
      <c r="D60" s="2" t="s">
        <v>5</v>
      </c>
      <c r="E60" s="3" t="s">
        <v>14</v>
      </c>
      <c r="F60" s="3" t="s">
        <v>5</v>
      </c>
      <c r="G60" t="s">
        <v>14</v>
      </c>
      <c r="H60" t="e">
        <f>VLOOKUP(C60,Sheet2!A:D,3,0)</f>
        <v>#N/A</v>
      </c>
      <c r="I60" t="e">
        <f>VLOOKUP(C60,Sheet2!A:D,4,0)</f>
        <v>#N/A</v>
      </c>
      <c r="J60" t="e">
        <v>#N/A</v>
      </c>
    </row>
    <row r="61" spans="1:10">
      <c r="A61" s="2" t="s">
        <v>473</v>
      </c>
      <c r="B61" s="2" t="s">
        <v>474</v>
      </c>
      <c r="C61" s="2" t="s">
        <v>475</v>
      </c>
      <c r="D61" s="2" t="s">
        <v>5</v>
      </c>
      <c r="E61" s="3" t="s">
        <v>14</v>
      </c>
      <c r="F61" s="3" t="e">
        <v>#N/A</v>
      </c>
      <c r="G61" t="e">
        <v>#N/A</v>
      </c>
      <c r="H61" t="e">
        <f>VLOOKUP(C61,Sheet2!A:D,3,0)</f>
        <v>#N/A</v>
      </c>
      <c r="I61" t="e">
        <f>VLOOKUP(C61,Sheet2!A:D,4,0)</f>
        <v>#N/A</v>
      </c>
      <c r="J61" t="e">
        <v>#N/A</v>
      </c>
    </row>
    <row r="62" spans="1:10">
      <c r="A62" s="2" t="s">
        <v>476</v>
      </c>
      <c r="B62" s="2" t="s">
        <v>477</v>
      </c>
      <c r="C62" s="2" t="s">
        <v>478</v>
      </c>
      <c r="D62" s="2" t="s">
        <v>5</v>
      </c>
      <c r="E62" s="3" t="s">
        <v>14</v>
      </c>
      <c r="F62" s="3" t="s">
        <v>5</v>
      </c>
      <c r="G62" t="s">
        <v>14</v>
      </c>
      <c r="H62" t="e">
        <f>VLOOKUP(C62,Sheet2!A:D,3,0)</f>
        <v>#N/A</v>
      </c>
      <c r="I62" t="e">
        <f>VLOOKUP(C62,Sheet2!A:D,4,0)</f>
        <v>#N/A</v>
      </c>
      <c r="J62" t="e">
        <v>#N/A</v>
      </c>
    </row>
    <row r="63" spans="1:10">
      <c r="A63" s="2" t="s">
        <v>479</v>
      </c>
      <c r="B63" s="2" t="s">
        <v>477</v>
      </c>
      <c r="C63" s="2" t="s">
        <v>480</v>
      </c>
      <c r="D63" s="2" t="s">
        <v>5</v>
      </c>
      <c r="E63" s="3" t="s">
        <v>14</v>
      </c>
      <c r="F63" s="3" t="s">
        <v>5</v>
      </c>
      <c r="G63" t="s">
        <v>14</v>
      </c>
      <c r="H63" t="str">
        <f>VLOOKUP(C63,Sheet2!A:D,3,0)</f>
        <v>Access</v>
      </c>
      <c r="I63" t="str">
        <f>VLOOKUP(C63,Sheet2!A:D,4,0)</f>
        <v>No</v>
      </c>
      <c r="J63" t="e">
        <v>#N/A</v>
      </c>
    </row>
    <row r="64" spans="1:10">
      <c r="A64" s="2" t="s">
        <v>481</v>
      </c>
      <c r="B64" s="2" t="s">
        <v>474</v>
      </c>
      <c r="C64" s="2" t="s">
        <v>482</v>
      </c>
      <c r="D64" s="2" t="s">
        <v>5</v>
      </c>
      <c r="E64" s="3" t="s">
        <v>14</v>
      </c>
      <c r="F64" s="3" t="s">
        <v>5</v>
      </c>
      <c r="G64" t="s">
        <v>14</v>
      </c>
      <c r="H64" t="e">
        <f>VLOOKUP(C64,Sheet2!A:D,3,0)</f>
        <v>#N/A</v>
      </c>
      <c r="I64" t="e">
        <f>VLOOKUP(C64,Sheet2!A:D,4,0)</f>
        <v>#N/A</v>
      </c>
      <c r="J64" t="e">
        <v>#N/A</v>
      </c>
    </row>
    <row r="65" spans="1:10">
      <c r="A65" s="2" t="s">
        <v>483</v>
      </c>
      <c r="B65" s="2" t="s">
        <v>474</v>
      </c>
      <c r="C65" s="2" t="s">
        <v>484</v>
      </c>
      <c r="D65" s="2" t="s">
        <v>5</v>
      </c>
      <c r="E65" s="3" t="s">
        <v>14</v>
      </c>
      <c r="F65" s="3" t="s">
        <v>5</v>
      </c>
      <c r="G65" t="s">
        <v>14</v>
      </c>
      <c r="H65" t="e">
        <f>VLOOKUP(C65,Sheet2!A:D,3,0)</f>
        <v>#N/A</v>
      </c>
      <c r="I65" t="e">
        <f>VLOOKUP(C65,Sheet2!A:D,4,0)</f>
        <v>#N/A</v>
      </c>
      <c r="J65" t="e">
        <v>#N/A</v>
      </c>
    </row>
    <row r="66" spans="1:10">
      <c r="A66" s="2" t="s">
        <v>485</v>
      </c>
      <c r="B66" s="2" t="s">
        <v>477</v>
      </c>
      <c r="C66" s="2" t="s">
        <v>486</v>
      </c>
      <c r="D66" s="2" t="s">
        <v>5</v>
      </c>
      <c r="E66" s="3" t="s">
        <v>14</v>
      </c>
      <c r="F66" s="3" t="s">
        <v>5</v>
      </c>
      <c r="G66" t="s">
        <v>14</v>
      </c>
      <c r="H66" t="e">
        <f>VLOOKUP(C66,Sheet2!A:D,3,0)</f>
        <v>#N/A</v>
      </c>
      <c r="I66" t="e">
        <f>VLOOKUP(C66,Sheet2!A:D,4,0)</f>
        <v>#N/A</v>
      </c>
      <c r="J66" t="e">
        <v>#N/A</v>
      </c>
    </row>
    <row r="67" spans="1:10">
      <c r="A67" s="2" t="s">
        <v>487</v>
      </c>
      <c r="B67" s="2" t="s">
        <v>474</v>
      </c>
      <c r="C67" s="2" t="s">
        <v>488</v>
      </c>
      <c r="D67" s="2" t="s">
        <v>5</v>
      </c>
      <c r="E67" s="3" t="s">
        <v>14</v>
      </c>
      <c r="F67" s="3" t="s">
        <v>5</v>
      </c>
      <c r="G67" t="s">
        <v>14</v>
      </c>
      <c r="H67" t="e">
        <f>VLOOKUP(C67,Sheet2!A:D,3,0)</f>
        <v>#N/A</v>
      </c>
      <c r="I67" t="e">
        <f>VLOOKUP(C67,Sheet2!A:D,4,0)</f>
        <v>#N/A</v>
      </c>
      <c r="J67" t="e">
        <v>#N/A</v>
      </c>
    </row>
    <row r="68" spans="1:10">
      <c r="A68" s="2" t="s">
        <v>489</v>
      </c>
      <c r="B68" s="2" t="s">
        <v>474</v>
      </c>
      <c r="C68" s="2" t="s">
        <v>490</v>
      </c>
      <c r="D68" s="2" t="s">
        <v>5</v>
      </c>
      <c r="E68" s="3" t="s">
        <v>14</v>
      </c>
      <c r="F68" s="3" t="s">
        <v>5</v>
      </c>
      <c r="G68" t="s">
        <v>14</v>
      </c>
      <c r="H68" t="e">
        <f>VLOOKUP(C68,Sheet2!A:D,3,0)</f>
        <v>#N/A</v>
      </c>
      <c r="I68" t="e">
        <f>VLOOKUP(C68,Sheet2!A:D,4,0)</f>
        <v>#N/A</v>
      </c>
      <c r="J68" t="e">
        <v>#N/A</v>
      </c>
    </row>
    <row r="69" spans="1:10">
      <c r="A69" s="2" t="s">
        <v>491</v>
      </c>
      <c r="B69" s="2" t="s">
        <v>474</v>
      </c>
      <c r="C69" s="2" t="s">
        <v>492</v>
      </c>
      <c r="D69" s="2" t="s">
        <v>5</v>
      </c>
      <c r="E69" s="3" t="s">
        <v>14</v>
      </c>
      <c r="F69" s="3" t="s">
        <v>5</v>
      </c>
      <c r="G69" t="s">
        <v>14</v>
      </c>
      <c r="H69" t="e">
        <f>VLOOKUP(C69,Sheet2!A:D,3,0)</f>
        <v>#N/A</v>
      </c>
      <c r="I69" t="e">
        <f>VLOOKUP(C69,Sheet2!A:D,4,0)</f>
        <v>#N/A</v>
      </c>
      <c r="J69" t="e">
        <v>#N/A</v>
      </c>
    </row>
    <row r="70" spans="1:10">
      <c r="A70" s="2" t="s">
        <v>493</v>
      </c>
      <c r="B70" s="2" t="s">
        <v>474</v>
      </c>
      <c r="C70" s="2" t="s">
        <v>494</v>
      </c>
      <c r="D70" s="2" t="s">
        <v>5</v>
      </c>
      <c r="E70" s="3" t="s">
        <v>14</v>
      </c>
      <c r="F70" s="3" t="s">
        <v>5</v>
      </c>
      <c r="G70" t="s">
        <v>14</v>
      </c>
      <c r="H70" t="e">
        <f>VLOOKUP(C70,Sheet2!A:D,3,0)</f>
        <v>#N/A</v>
      </c>
      <c r="I70" t="e">
        <f>VLOOKUP(C70,Sheet2!A:D,4,0)</f>
        <v>#N/A</v>
      </c>
      <c r="J70" t="e">
        <v>#N/A</v>
      </c>
    </row>
    <row r="71" spans="1:10">
      <c r="A71" s="2" t="s">
        <v>495</v>
      </c>
      <c r="B71" s="2" t="s">
        <v>474</v>
      </c>
      <c r="C71" s="2" t="s">
        <v>496</v>
      </c>
      <c r="D71" s="2" t="s">
        <v>5</v>
      </c>
      <c r="E71" s="3" t="s">
        <v>14</v>
      </c>
      <c r="F71" s="3" t="s">
        <v>5</v>
      </c>
      <c r="G71" t="s">
        <v>14</v>
      </c>
      <c r="H71" t="e">
        <f>VLOOKUP(C71,Sheet2!A:D,3,0)</f>
        <v>#N/A</v>
      </c>
      <c r="I71" t="e">
        <f>VLOOKUP(C71,Sheet2!A:D,4,0)</f>
        <v>#N/A</v>
      </c>
      <c r="J71" t="e">
        <v>#N/A</v>
      </c>
    </row>
    <row r="72" spans="1:10">
      <c r="A72" s="2" t="s">
        <v>497</v>
      </c>
      <c r="B72" s="2" t="s">
        <v>477</v>
      </c>
      <c r="C72" s="2" t="s">
        <v>498</v>
      </c>
      <c r="D72" s="2" t="s">
        <v>5</v>
      </c>
      <c r="E72" s="3" t="s">
        <v>14</v>
      </c>
      <c r="F72" s="3" t="s">
        <v>5</v>
      </c>
      <c r="G72" t="s">
        <v>14</v>
      </c>
      <c r="H72" t="e">
        <f>VLOOKUP(C72,Sheet2!A:D,3,0)</f>
        <v>#N/A</v>
      </c>
      <c r="I72" t="e">
        <f>VLOOKUP(C72,Sheet2!A:D,4,0)</f>
        <v>#N/A</v>
      </c>
      <c r="J72" t="e">
        <v>#N/A</v>
      </c>
    </row>
    <row r="73" spans="1:10">
      <c r="A73" s="2" t="s">
        <v>499</v>
      </c>
      <c r="B73" s="2" t="s">
        <v>474</v>
      </c>
      <c r="C73" s="2" t="s">
        <v>500</v>
      </c>
      <c r="D73" s="2" t="s">
        <v>5</v>
      </c>
      <c r="E73" s="3" t="s">
        <v>14</v>
      </c>
      <c r="F73" s="3" t="s">
        <v>5</v>
      </c>
      <c r="G73" t="s">
        <v>14</v>
      </c>
      <c r="H73" t="str">
        <f>VLOOKUP(C73,Sheet2!A:D,3,0)</f>
        <v>Access</v>
      </c>
      <c r="I73" t="str">
        <f>VLOOKUP(C73,Sheet2!A:D,4,0)</f>
        <v>No</v>
      </c>
      <c r="J73" t="e">
        <v>#N/A</v>
      </c>
    </row>
    <row r="74" spans="1:10">
      <c r="A74" s="2" t="s">
        <v>501</v>
      </c>
      <c r="B74" s="2" t="s">
        <v>474</v>
      </c>
      <c r="C74" s="2" t="s">
        <v>502</v>
      </c>
      <c r="D74" s="2" t="s">
        <v>5</v>
      </c>
      <c r="E74" s="3" t="s">
        <v>14</v>
      </c>
      <c r="F74" s="3" t="e">
        <v>#N/A</v>
      </c>
      <c r="G74" t="e">
        <v>#N/A</v>
      </c>
      <c r="H74" t="e">
        <f>VLOOKUP(C74,Sheet2!A:D,3,0)</f>
        <v>#N/A</v>
      </c>
      <c r="I74" t="e">
        <f>VLOOKUP(C74,Sheet2!A:D,4,0)</f>
        <v>#N/A</v>
      </c>
      <c r="J74" t="e">
        <v>#N/A</v>
      </c>
    </row>
    <row r="75" spans="1:10">
      <c r="A75" s="2" t="s">
        <v>503</v>
      </c>
      <c r="B75" s="2" t="s">
        <v>477</v>
      </c>
      <c r="C75" s="2" t="s">
        <v>504</v>
      </c>
      <c r="D75" s="2" t="s">
        <v>5</v>
      </c>
      <c r="E75" s="3" t="s">
        <v>6</v>
      </c>
      <c r="F75" s="3" t="s">
        <v>5</v>
      </c>
      <c r="G75" t="s">
        <v>6</v>
      </c>
      <c r="H75" t="str">
        <f>VLOOKUP(C75,Sheet2!A:D,3,0)</f>
        <v>Access</v>
      </c>
      <c r="I75" t="str">
        <f>VLOOKUP(C75,Sheet2!A:D,4,0)</f>
        <v>Yes</v>
      </c>
      <c r="J75" t="s">
        <v>584</v>
      </c>
    </row>
    <row r="76" spans="1:10">
      <c r="A76" s="2" t="s">
        <v>505</v>
      </c>
      <c r="B76" s="2" t="s">
        <v>474</v>
      </c>
      <c r="C76" s="2" t="s">
        <v>506</v>
      </c>
      <c r="D76" s="2" t="s">
        <v>5</v>
      </c>
      <c r="E76" s="3" t="s">
        <v>14</v>
      </c>
      <c r="F76" s="3" t="s">
        <v>5</v>
      </c>
      <c r="G76" t="s">
        <v>14</v>
      </c>
      <c r="H76" t="e">
        <f>VLOOKUP(C76,Sheet2!A:D,3,0)</f>
        <v>#N/A</v>
      </c>
      <c r="I76" t="e">
        <f>VLOOKUP(C76,Sheet2!A:D,4,0)</f>
        <v>#N/A</v>
      </c>
      <c r="J76" t="e">
        <v>#N/A</v>
      </c>
    </row>
    <row r="77" spans="1:10">
      <c r="A77" s="2" t="s">
        <v>507</v>
      </c>
      <c r="B77" s="2" t="s">
        <v>474</v>
      </c>
      <c r="C77" s="2" t="s">
        <v>508</v>
      </c>
      <c r="D77" s="2" t="s">
        <v>5</v>
      </c>
      <c r="E77" s="3" t="s">
        <v>14</v>
      </c>
      <c r="F77" s="3" t="s">
        <v>5</v>
      </c>
      <c r="G77" t="s">
        <v>14</v>
      </c>
      <c r="H77" t="e">
        <f>VLOOKUP(C77,Sheet2!A:D,3,0)</f>
        <v>#N/A</v>
      </c>
      <c r="I77" t="e">
        <f>VLOOKUP(C77,Sheet2!A:D,4,0)</f>
        <v>#N/A</v>
      </c>
      <c r="J77" t="e">
        <v>#N/A</v>
      </c>
    </row>
    <row r="78" spans="1:10">
      <c r="A78" s="2" t="s">
        <v>509</v>
      </c>
      <c r="B78" s="2" t="s">
        <v>474</v>
      </c>
      <c r="C78" s="2" t="s">
        <v>510</v>
      </c>
      <c r="D78" s="2" t="s">
        <v>5</v>
      </c>
      <c r="E78" s="3" t="s">
        <v>14</v>
      </c>
      <c r="F78" s="3" t="s">
        <v>5</v>
      </c>
      <c r="G78" t="s">
        <v>14</v>
      </c>
      <c r="H78" t="e">
        <f>VLOOKUP(C78,Sheet2!A:D,3,0)</f>
        <v>#N/A</v>
      </c>
      <c r="I78" t="e">
        <f>VLOOKUP(C78,Sheet2!A:D,4,0)</f>
        <v>#N/A</v>
      </c>
      <c r="J78" t="e">
        <v>#N/A</v>
      </c>
    </row>
    <row r="79" spans="1:10">
      <c r="A79" s="2" t="s">
        <v>511</v>
      </c>
      <c r="B79" s="2" t="s">
        <v>477</v>
      </c>
      <c r="C79" s="2" t="s">
        <v>512</v>
      </c>
      <c r="D79" s="2" t="s">
        <v>5</v>
      </c>
      <c r="E79" s="3" t="s">
        <v>14</v>
      </c>
      <c r="F79" s="3" t="s">
        <v>5</v>
      </c>
      <c r="G79" t="s">
        <v>14</v>
      </c>
      <c r="H79" t="str">
        <f>VLOOKUP(C79,Sheet2!A:D,3,0)</f>
        <v>Access</v>
      </c>
      <c r="I79" t="str">
        <f>VLOOKUP(C79,Sheet2!A:D,4,0)</f>
        <v>No</v>
      </c>
      <c r="J79" t="e">
        <v>#N/A</v>
      </c>
    </row>
    <row r="80" spans="1:10">
      <c r="A80" s="2" t="s">
        <v>513</v>
      </c>
      <c r="B80" s="2" t="s">
        <v>474</v>
      </c>
      <c r="C80" s="2" t="s">
        <v>514</v>
      </c>
      <c r="D80" s="2" t="s">
        <v>5</v>
      </c>
      <c r="E80" s="3" t="s">
        <v>14</v>
      </c>
      <c r="F80" s="3" t="e">
        <v>#N/A</v>
      </c>
      <c r="G80" t="e">
        <v>#N/A</v>
      </c>
      <c r="H80" t="e">
        <f>VLOOKUP(C80,Sheet2!A:D,3,0)</f>
        <v>#N/A</v>
      </c>
      <c r="I80" t="e">
        <f>VLOOKUP(C80,Sheet2!A:D,4,0)</f>
        <v>#N/A</v>
      </c>
      <c r="J80" t="e">
        <v>#N/A</v>
      </c>
    </row>
    <row r="81" spans="1:10">
      <c r="A81" s="2" t="s">
        <v>515</v>
      </c>
      <c r="B81" s="2" t="s">
        <v>477</v>
      </c>
      <c r="C81" s="2" t="s">
        <v>516</v>
      </c>
      <c r="D81" s="2" t="s">
        <v>5</v>
      </c>
      <c r="E81" s="3" t="s">
        <v>14</v>
      </c>
      <c r="F81" s="3" t="s">
        <v>5</v>
      </c>
      <c r="G81" t="s">
        <v>14</v>
      </c>
      <c r="H81" t="str">
        <f>VLOOKUP(C81,Sheet2!A:D,3,0)</f>
        <v>Access</v>
      </c>
      <c r="I81" t="str">
        <f>VLOOKUP(C81,Sheet2!A:D,4,0)</f>
        <v>No</v>
      </c>
      <c r="J81" t="e">
        <v>#N/A</v>
      </c>
    </row>
    <row r="82" spans="1:10">
      <c r="A82" s="2" t="s">
        <v>517</v>
      </c>
      <c r="B82" s="2" t="s">
        <v>474</v>
      </c>
      <c r="C82" s="2" t="s">
        <v>518</v>
      </c>
      <c r="D82" s="2" t="s">
        <v>5</v>
      </c>
      <c r="E82" s="3" t="s">
        <v>14</v>
      </c>
      <c r="F82" s="3" t="s">
        <v>5</v>
      </c>
      <c r="G82" t="s">
        <v>14</v>
      </c>
      <c r="H82" t="e">
        <f>VLOOKUP(C82,Sheet2!A:D,3,0)</f>
        <v>#N/A</v>
      </c>
      <c r="I82" t="e">
        <f>VLOOKUP(C82,Sheet2!A:D,4,0)</f>
        <v>#N/A</v>
      </c>
      <c r="J82" t="e">
        <v>#N/A</v>
      </c>
    </row>
    <row r="83" spans="1:10">
      <c r="A83" s="2" t="s">
        <v>519</v>
      </c>
      <c r="B83" s="2" t="s">
        <v>474</v>
      </c>
      <c r="C83" s="2" t="s">
        <v>520</v>
      </c>
      <c r="D83" s="2" t="s">
        <v>5</v>
      </c>
      <c r="E83" s="3" t="s">
        <v>14</v>
      </c>
      <c r="F83" s="3" t="s">
        <v>5</v>
      </c>
      <c r="G83" t="s">
        <v>14</v>
      </c>
      <c r="H83" t="e">
        <f>VLOOKUP(C83,Sheet2!A:D,3,0)</f>
        <v>#N/A</v>
      </c>
      <c r="I83" t="e">
        <f>VLOOKUP(C83,Sheet2!A:D,4,0)</f>
        <v>#N/A</v>
      </c>
      <c r="J83" t="e">
        <v>#N/A</v>
      </c>
    </row>
    <row r="84" spans="1:10">
      <c r="A84" s="2" t="s">
        <v>521</v>
      </c>
      <c r="B84" s="2" t="s">
        <v>474</v>
      </c>
      <c r="C84" s="2" t="s">
        <v>522</v>
      </c>
      <c r="D84" s="2" t="s">
        <v>5</v>
      </c>
      <c r="E84" s="3" t="s">
        <v>14</v>
      </c>
      <c r="F84" s="3" t="s">
        <v>5</v>
      </c>
      <c r="G84" t="s">
        <v>14</v>
      </c>
      <c r="H84" t="e">
        <f>VLOOKUP(C84,Sheet2!A:D,3,0)</f>
        <v>#N/A</v>
      </c>
      <c r="I84" t="e">
        <f>VLOOKUP(C84,Sheet2!A:D,4,0)</f>
        <v>#N/A</v>
      </c>
      <c r="J84" t="e">
        <v>#N/A</v>
      </c>
    </row>
    <row r="85" spans="1:10">
      <c r="A85" s="2" t="s">
        <v>523</v>
      </c>
      <c r="B85" s="2" t="s">
        <v>474</v>
      </c>
      <c r="C85" s="2" t="s">
        <v>524</v>
      </c>
      <c r="D85" s="2" t="s">
        <v>5</v>
      </c>
      <c r="E85" s="3" t="s">
        <v>14</v>
      </c>
      <c r="F85" s="3" t="s">
        <v>5</v>
      </c>
      <c r="G85" t="s">
        <v>14</v>
      </c>
      <c r="H85" t="e">
        <f>VLOOKUP(C85,Sheet2!A:D,3,0)</f>
        <v>#N/A</v>
      </c>
      <c r="I85" t="e">
        <f>VLOOKUP(C85,Sheet2!A:D,4,0)</f>
        <v>#N/A</v>
      </c>
      <c r="J85" t="e">
        <v>#N/A</v>
      </c>
    </row>
    <row r="86" spans="1:10">
      <c r="A86" s="2" t="s">
        <v>525</v>
      </c>
      <c r="B86" s="2" t="s">
        <v>474</v>
      </c>
      <c r="C86" s="2" t="s">
        <v>526</v>
      </c>
      <c r="D86" s="2" t="s">
        <v>5</v>
      </c>
      <c r="E86" s="3" t="s">
        <v>14</v>
      </c>
      <c r="F86" s="3" t="s">
        <v>5</v>
      </c>
      <c r="G86" t="s">
        <v>14</v>
      </c>
      <c r="H86" t="e">
        <f>VLOOKUP(C86,Sheet2!A:D,3,0)</f>
        <v>#N/A</v>
      </c>
      <c r="I86" t="e">
        <f>VLOOKUP(C86,Sheet2!A:D,4,0)</f>
        <v>#N/A</v>
      </c>
      <c r="J86" t="e">
        <v>#N/A</v>
      </c>
    </row>
    <row r="87" spans="1:10">
      <c r="A87" s="2" t="s">
        <v>527</v>
      </c>
      <c r="B87" s="2" t="s">
        <v>474</v>
      </c>
      <c r="C87" s="2" t="s">
        <v>528</v>
      </c>
      <c r="D87" s="2" t="s">
        <v>5</v>
      </c>
      <c r="E87" s="3" t="s">
        <v>14</v>
      </c>
      <c r="F87" s="3" t="s">
        <v>5</v>
      </c>
      <c r="G87" t="s">
        <v>14</v>
      </c>
      <c r="H87" t="e">
        <f>VLOOKUP(C87,Sheet2!A:D,3,0)</f>
        <v>#N/A</v>
      </c>
      <c r="I87" t="e">
        <f>VLOOKUP(C87,Sheet2!A:D,4,0)</f>
        <v>#N/A</v>
      </c>
      <c r="J87" t="e">
        <v>#N/A</v>
      </c>
    </row>
    <row r="88" spans="1:10">
      <c r="A88" s="2" t="s">
        <v>529</v>
      </c>
      <c r="B88" s="2" t="s">
        <v>11</v>
      </c>
      <c r="C88" s="2" t="s">
        <v>530</v>
      </c>
      <c r="D88" s="2" t="s">
        <v>5</v>
      </c>
      <c r="E88" s="3" t="s">
        <v>14</v>
      </c>
      <c r="F88" s="3" t="s">
        <v>5</v>
      </c>
      <c r="G88" t="s">
        <v>14</v>
      </c>
      <c r="H88" t="str">
        <f>VLOOKUP(C88,Sheet2!A:D,3,0)</f>
        <v>Access</v>
      </c>
      <c r="I88" t="str">
        <f>VLOOKUP(C88,Sheet2!A:D,4,0)</f>
        <v>No</v>
      </c>
      <c r="J88" t="e">
        <v>#N/A</v>
      </c>
    </row>
    <row r="89" spans="1:10">
      <c r="A89" s="2" t="s">
        <v>531</v>
      </c>
      <c r="B89" s="2" t="s">
        <v>8</v>
      </c>
      <c r="C89" s="2" t="s">
        <v>532</v>
      </c>
      <c r="D89" s="2" t="s">
        <v>5</v>
      </c>
      <c r="E89" s="3" t="s">
        <v>14</v>
      </c>
      <c r="F89" s="3" t="s">
        <v>5</v>
      </c>
      <c r="G89" t="s">
        <v>14</v>
      </c>
      <c r="H89" t="e">
        <f>VLOOKUP(C89,Sheet2!A:D,3,0)</f>
        <v>#N/A</v>
      </c>
      <c r="I89" t="e">
        <f>VLOOKUP(C89,Sheet2!A:D,4,0)</f>
        <v>#N/A</v>
      </c>
      <c r="J89" t="e">
        <v>#N/A</v>
      </c>
    </row>
    <row r="90" spans="1:10">
      <c r="A90" s="2" t="s">
        <v>631</v>
      </c>
      <c r="B90" s="2" t="s">
        <v>173</v>
      </c>
      <c r="C90" s="2" t="s">
        <v>550</v>
      </c>
      <c r="D90" s="2" t="s">
        <v>5</v>
      </c>
      <c r="E90" s="3" t="s">
        <v>14</v>
      </c>
      <c r="F90" s="3" t="s">
        <v>5</v>
      </c>
      <c r="G90" t="s">
        <v>14</v>
      </c>
      <c r="H90" t="str">
        <f>VLOOKUP(C90,Sheet2!A:D,3,0)</f>
        <v>Access</v>
      </c>
      <c r="I90" t="str">
        <f>VLOOKUP(C90,Sheet2!A:D,4,0)</f>
        <v>No</v>
      </c>
      <c r="J90" t="s">
        <v>584</v>
      </c>
    </row>
    <row r="91" spans="1:10">
      <c r="A91" s="2" t="s">
        <v>551</v>
      </c>
      <c r="B91" s="2" t="s">
        <v>170</v>
      </c>
      <c r="C91" s="2" t="s">
        <v>552</v>
      </c>
      <c r="D91" s="2" t="s">
        <v>5</v>
      </c>
      <c r="E91" s="3" t="s">
        <v>14</v>
      </c>
      <c r="F91" s="3" t="s">
        <v>5</v>
      </c>
      <c r="G91" t="s">
        <v>14</v>
      </c>
      <c r="H91" t="str">
        <f>VLOOKUP(C91,Sheet2!A:D,3,0)</f>
        <v>Access</v>
      </c>
      <c r="I91" t="str">
        <f>VLOOKUP(C91,Sheet2!A:D,4,0)</f>
        <v>No</v>
      </c>
      <c r="J91" t="e">
        <v>#N/A</v>
      </c>
    </row>
    <row r="92" spans="1:10">
      <c r="A92" s="2" t="s">
        <v>559</v>
      </c>
      <c r="B92" s="2" t="s">
        <v>25</v>
      </c>
      <c r="C92" s="2" t="s">
        <v>560</v>
      </c>
      <c r="D92" s="2" t="s">
        <v>5</v>
      </c>
      <c r="E92" s="3" t="s">
        <v>14</v>
      </c>
      <c r="F92" s="3" t="s">
        <v>5</v>
      </c>
      <c r="G92" t="s">
        <v>14</v>
      </c>
      <c r="H92" t="e">
        <f>VLOOKUP(C92,Sheet2!A:D,3,0)</f>
        <v>#N/A</v>
      </c>
      <c r="I92" t="e">
        <f>VLOOKUP(C92,Sheet2!A:D,4,0)</f>
        <v>#N/A</v>
      </c>
      <c r="J92" t="e">
        <v>#N/A</v>
      </c>
    </row>
    <row r="93" spans="1:10">
      <c r="A93" s="2" t="s">
        <v>561</v>
      </c>
      <c r="B93" s="2" t="s">
        <v>25</v>
      </c>
      <c r="C93" s="2" t="s">
        <v>562</v>
      </c>
      <c r="D93" s="2" t="s">
        <v>5</v>
      </c>
      <c r="E93" s="3" t="s">
        <v>14</v>
      </c>
      <c r="F93" s="3" t="s">
        <v>5</v>
      </c>
      <c r="G93" t="s">
        <v>14</v>
      </c>
      <c r="H93" t="e">
        <f>VLOOKUP(C93,Sheet2!A:D,3,0)</f>
        <v>#N/A</v>
      </c>
      <c r="I93" t="e">
        <f>VLOOKUP(C93,Sheet2!A:D,4,0)</f>
        <v>#N/A</v>
      </c>
      <c r="J93" t="e">
        <v>#N/A</v>
      </c>
    </row>
    <row r="94" spans="1:10">
      <c r="A94" s="2" t="s">
        <v>567</v>
      </c>
      <c r="B94" s="2" t="s">
        <v>55</v>
      </c>
      <c r="C94" s="2" t="s">
        <v>568</v>
      </c>
      <c r="D94" s="2" t="s">
        <v>5</v>
      </c>
      <c r="E94" s="3" t="s">
        <v>6</v>
      </c>
      <c r="F94" s="3" t="s">
        <v>5</v>
      </c>
      <c r="G94" t="s">
        <v>6</v>
      </c>
      <c r="H94" t="str">
        <f>VLOOKUP(C94,Sheet2!A:D,3,0)</f>
        <v>Access</v>
      </c>
      <c r="I94" t="str">
        <f>VLOOKUP(C94,Sheet2!A:D,4,0)</f>
        <v>No</v>
      </c>
      <c r="J94" t="s">
        <v>584</v>
      </c>
    </row>
    <row r="95" spans="1:10">
      <c r="A95" s="2" t="s">
        <v>34</v>
      </c>
      <c r="B95" s="2" t="s">
        <v>35</v>
      </c>
      <c r="C95" s="2" t="s">
        <v>36</v>
      </c>
      <c r="D95" s="2" t="s">
        <v>37</v>
      </c>
      <c r="E95" s="3" t="s">
        <v>14</v>
      </c>
      <c r="F95" s="3" t="s">
        <v>37</v>
      </c>
      <c r="G95" t="s">
        <v>14</v>
      </c>
      <c r="H95" t="str">
        <f>VLOOKUP(C95,Sheet2!A:D,3,0)</f>
        <v>Reserve</v>
      </c>
      <c r="I95" t="str">
        <f>VLOOKUP(C95,Sheet2!A:D,4,0)</f>
        <v>No</v>
      </c>
      <c r="J95" t="s">
        <v>586</v>
      </c>
    </row>
    <row r="96" spans="1:10">
      <c r="A96" s="2" t="s">
        <v>38</v>
      </c>
      <c r="B96" s="3" t="s">
        <v>39</v>
      </c>
      <c r="C96" s="3" t="s">
        <v>40</v>
      </c>
      <c r="D96" s="3" t="s">
        <v>37</v>
      </c>
      <c r="E96" s="3" t="s">
        <v>14</v>
      </c>
      <c r="F96" s="3" t="e">
        <v>#N/A</v>
      </c>
      <c r="G96" t="e">
        <v>#N/A</v>
      </c>
      <c r="H96" t="e">
        <f>VLOOKUP(C96,Sheet2!A:D,3,0)</f>
        <v>#N/A</v>
      </c>
      <c r="I96" t="e">
        <f>VLOOKUP(C96,Sheet2!A:D,4,0)</f>
        <v>#N/A</v>
      </c>
      <c r="J96" t="e">
        <v>#N/A</v>
      </c>
    </row>
    <row r="97" spans="1:10">
      <c r="A97" s="2" t="s">
        <v>61</v>
      </c>
      <c r="B97" s="2" t="s">
        <v>35</v>
      </c>
      <c r="C97" s="2" t="s">
        <v>62</v>
      </c>
      <c r="D97" s="2" t="s">
        <v>37</v>
      </c>
      <c r="E97" s="3" t="s">
        <v>14</v>
      </c>
      <c r="F97" s="3" t="s">
        <v>37</v>
      </c>
      <c r="G97" t="s">
        <v>14</v>
      </c>
      <c r="H97" t="e">
        <f>VLOOKUP(C97,Sheet2!A:D,3,0)</f>
        <v>#N/A</v>
      </c>
      <c r="I97" t="e">
        <f>VLOOKUP(C97,Sheet2!A:D,4,0)</f>
        <v>#N/A</v>
      </c>
      <c r="J97" t="e">
        <v>#N/A</v>
      </c>
    </row>
    <row r="98" spans="1:10">
      <c r="A98" s="2" t="s">
        <v>101</v>
      </c>
      <c r="B98" s="2" t="s">
        <v>102</v>
      </c>
      <c r="C98" s="2" t="s">
        <v>103</v>
      </c>
      <c r="D98" s="2" t="s">
        <v>37</v>
      </c>
      <c r="E98" s="3" t="s">
        <v>6</v>
      </c>
      <c r="F98" s="3" t="s">
        <v>37</v>
      </c>
      <c r="G98" t="s">
        <v>6</v>
      </c>
      <c r="H98" t="e">
        <f>VLOOKUP(C98,Sheet2!A:D,3,0)</f>
        <v>#N/A</v>
      </c>
      <c r="I98" t="e">
        <f>VLOOKUP(C98,Sheet2!A:D,4,0)</f>
        <v>#N/A</v>
      </c>
      <c r="J98" t="s">
        <v>586</v>
      </c>
    </row>
    <row r="99" spans="1:10">
      <c r="A99" s="2" t="s">
        <v>146</v>
      </c>
      <c r="B99" s="2" t="s">
        <v>147</v>
      </c>
      <c r="C99" s="2" t="s">
        <v>148</v>
      </c>
      <c r="D99" s="2" t="s">
        <v>37</v>
      </c>
      <c r="E99" s="3" t="s">
        <v>14</v>
      </c>
      <c r="F99" s="3" t="s">
        <v>37</v>
      </c>
      <c r="G99" t="s">
        <v>14</v>
      </c>
      <c r="H99" t="str">
        <f>VLOOKUP(C99,Sheet2!A:D,3,0)</f>
        <v>Reserve</v>
      </c>
      <c r="I99" t="str">
        <f>VLOOKUP(C99,Sheet2!A:D,4,0)</f>
        <v>No</v>
      </c>
      <c r="J99" t="e">
        <v>#N/A</v>
      </c>
    </row>
    <row r="100" spans="1:10">
      <c r="A100" s="2" t="s">
        <v>151</v>
      </c>
      <c r="B100" s="2" t="s">
        <v>90</v>
      </c>
      <c r="C100" s="2" t="s">
        <v>152</v>
      </c>
      <c r="D100" s="2" t="s">
        <v>37</v>
      </c>
      <c r="E100" s="3" t="s">
        <v>6</v>
      </c>
      <c r="F100" s="3" t="s">
        <v>37</v>
      </c>
      <c r="G100" t="s">
        <v>6</v>
      </c>
      <c r="H100" t="str">
        <f>VLOOKUP(C100,Sheet2!A:D,3,0)</f>
        <v>Reserve</v>
      </c>
      <c r="I100" t="str">
        <f>VLOOKUP(C100,Sheet2!A:D,4,0)</f>
        <v>Yes</v>
      </c>
      <c r="J100" t="s">
        <v>586</v>
      </c>
    </row>
    <row r="101" spans="1:10">
      <c r="A101" s="2" t="s">
        <v>161</v>
      </c>
      <c r="B101" s="2" t="s">
        <v>147</v>
      </c>
      <c r="C101" s="2" t="s">
        <v>162</v>
      </c>
      <c r="D101" s="2" t="s">
        <v>37</v>
      </c>
      <c r="E101" s="3" t="s">
        <v>14</v>
      </c>
      <c r="F101" s="3" t="s">
        <v>37</v>
      </c>
      <c r="G101" t="s">
        <v>14</v>
      </c>
      <c r="H101" t="str">
        <f>VLOOKUP(C101,Sheet2!A:D,3,0)</f>
        <v>Reserve</v>
      </c>
      <c r="I101" t="str">
        <f>VLOOKUP(C101,Sheet2!A:D,4,0)</f>
        <v>No</v>
      </c>
      <c r="J101" t="e">
        <v>#N/A</v>
      </c>
    </row>
    <row r="102" spans="1:10">
      <c r="A102" s="2" t="s">
        <v>163</v>
      </c>
      <c r="B102" s="2" t="s">
        <v>147</v>
      </c>
      <c r="C102" s="2" t="s">
        <v>164</v>
      </c>
      <c r="D102" s="2" t="s">
        <v>37</v>
      </c>
      <c r="E102" s="3" t="s">
        <v>6</v>
      </c>
      <c r="F102" s="3" t="s">
        <v>37</v>
      </c>
      <c r="G102" t="s">
        <v>14</v>
      </c>
      <c r="H102" t="str">
        <f>VLOOKUP(C102,Sheet2!A:D,3,0)</f>
        <v>Reserve</v>
      </c>
      <c r="I102" t="str">
        <f>VLOOKUP(C102,Sheet2!A:D,4,0)</f>
        <v>No</v>
      </c>
      <c r="J102" t="s">
        <v>586</v>
      </c>
    </row>
    <row r="103" spans="1:10">
      <c r="A103" s="2" t="s">
        <v>195</v>
      </c>
      <c r="B103" s="2" t="s">
        <v>196</v>
      </c>
      <c r="C103" s="2" t="s">
        <v>197</v>
      </c>
      <c r="D103" s="2" t="s">
        <v>37</v>
      </c>
      <c r="E103" s="3" t="s">
        <v>6</v>
      </c>
      <c r="F103" s="3" t="s">
        <v>37</v>
      </c>
      <c r="G103" t="s">
        <v>6</v>
      </c>
      <c r="H103" t="str">
        <f>VLOOKUP(C103,Sheet2!A:D,3,0)</f>
        <v>Reserve</v>
      </c>
      <c r="I103" t="str">
        <f>VLOOKUP(C103,Sheet2!A:D,4,0)</f>
        <v>Yes</v>
      </c>
      <c r="J103" t="s">
        <v>586</v>
      </c>
    </row>
    <row r="104" spans="1:10">
      <c r="A104" s="2" t="s">
        <v>198</v>
      </c>
      <c r="B104" s="2" t="s">
        <v>196</v>
      </c>
      <c r="C104" s="2" t="s">
        <v>199</v>
      </c>
      <c r="D104" s="2" t="s">
        <v>37</v>
      </c>
      <c r="E104" s="3" t="s">
        <v>14</v>
      </c>
      <c r="F104" s="3" t="s">
        <v>37</v>
      </c>
      <c r="G104" t="s">
        <v>14</v>
      </c>
      <c r="H104" t="e">
        <f>VLOOKUP(C104,Sheet2!A:D,3,0)</f>
        <v>#N/A</v>
      </c>
      <c r="I104" t="e">
        <f>VLOOKUP(C104,Sheet2!A:D,4,0)</f>
        <v>#N/A</v>
      </c>
      <c r="J104" t="e">
        <v>#N/A</v>
      </c>
    </row>
    <row r="105" spans="1:10">
      <c r="A105" s="2" t="s">
        <v>200</v>
      </c>
      <c r="B105" s="2" t="s">
        <v>201</v>
      </c>
      <c r="C105" s="2" t="s">
        <v>202</v>
      </c>
      <c r="D105" s="2" t="s">
        <v>37</v>
      </c>
      <c r="E105" s="3" t="s">
        <v>14</v>
      </c>
      <c r="F105" s="3" t="s">
        <v>37</v>
      </c>
      <c r="G105" t="s">
        <v>14</v>
      </c>
      <c r="H105" t="str">
        <f>VLOOKUP(C105,Sheet2!A:D,3,0)</f>
        <v>Reserve</v>
      </c>
      <c r="I105" t="str">
        <f>VLOOKUP(C105,Sheet2!A:D,4,0)</f>
        <v>No</v>
      </c>
      <c r="J105" t="e">
        <v>#N/A</v>
      </c>
    </row>
    <row r="106" spans="1:10">
      <c r="A106" s="2" t="s">
        <v>203</v>
      </c>
      <c r="B106" s="2" t="s">
        <v>204</v>
      </c>
      <c r="C106" s="2" t="s">
        <v>205</v>
      </c>
      <c r="D106" s="2" t="s">
        <v>37</v>
      </c>
      <c r="E106" s="3" t="s">
        <v>14</v>
      </c>
      <c r="F106" s="3" t="s">
        <v>37</v>
      </c>
      <c r="G106" t="s">
        <v>14</v>
      </c>
      <c r="H106" t="str">
        <f>VLOOKUP(C106,Sheet2!A:D,3,0)</f>
        <v>Reserve</v>
      </c>
      <c r="I106" t="str">
        <f>VLOOKUP(C106,Sheet2!A:D,4,0)</f>
        <v>No</v>
      </c>
      <c r="J106" t="e">
        <v>#N/A</v>
      </c>
    </row>
    <row r="107" spans="1:10">
      <c r="A107" s="2" t="s">
        <v>206</v>
      </c>
      <c r="B107" s="2" t="s">
        <v>207</v>
      </c>
      <c r="C107" s="2" t="s">
        <v>208</v>
      </c>
      <c r="D107" s="2" t="s">
        <v>37</v>
      </c>
      <c r="E107" s="3" t="s">
        <v>14</v>
      </c>
      <c r="F107" s="3" t="s">
        <v>37</v>
      </c>
      <c r="G107" t="s">
        <v>14</v>
      </c>
      <c r="H107" t="str">
        <f>VLOOKUP(C107,Sheet2!A:D,3,0)</f>
        <v>Reserve</v>
      </c>
      <c r="I107" t="str">
        <f>VLOOKUP(C107,Sheet2!A:D,4,0)</f>
        <v>No</v>
      </c>
      <c r="J107" t="s">
        <v>586</v>
      </c>
    </row>
    <row r="108" spans="1:10">
      <c r="A108" s="2" t="s">
        <v>227</v>
      </c>
      <c r="B108" s="2" t="s">
        <v>173</v>
      </c>
      <c r="C108" s="2" t="s">
        <v>228</v>
      </c>
      <c r="D108" s="2" t="s">
        <v>37</v>
      </c>
      <c r="E108" s="3" t="s">
        <v>14</v>
      </c>
      <c r="F108" s="3" t="s">
        <v>37</v>
      </c>
      <c r="G108" t="s">
        <v>14</v>
      </c>
      <c r="H108" t="str">
        <f>VLOOKUP(C108,Sheet2!A:D,3,0)</f>
        <v>Reserve</v>
      </c>
      <c r="I108" t="str">
        <f>VLOOKUP(C108,Sheet2!A:D,4,0)</f>
        <v>No</v>
      </c>
      <c r="J108" t="s">
        <v>586</v>
      </c>
    </row>
    <row r="109" spans="1:10">
      <c r="A109" s="2" t="s">
        <v>233</v>
      </c>
      <c r="B109" s="2" t="s">
        <v>234</v>
      </c>
      <c r="C109" s="2" t="s">
        <v>235</v>
      </c>
      <c r="D109" s="2" t="s">
        <v>37</v>
      </c>
      <c r="E109" s="3" t="s">
        <v>14</v>
      </c>
      <c r="F109" s="3" t="s">
        <v>37</v>
      </c>
      <c r="G109" t="s">
        <v>14</v>
      </c>
      <c r="H109" t="str">
        <f>VLOOKUP(C109,Sheet2!A:D,3,0)</f>
        <v>Reserve</v>
      </c>
      <c r="I109" t="str">
        <f>VLOOKUP(C109,Sheet2!A:D,4,0)</f>
        <v>No</v>
      </c>
      <c r="J109" t="e">
        <v>#N/A</v>
      </c>
    </row>
    <row r="110" spans="1:10">
      <c r="A110" s="2" t="s">
        <v>248</v>
      </c>
      <c r="B110" s="2" t="s">
        <v>249</v>
      </c>
      <c r="C110" s="2" t="s">
        <v>250</v>
      </c>
      <c r="D110" s="2" t="s">
        <v>37</v>
      </c>
      <c r="E110" s="3" t="s">
        <v>6</v>
      </c>
      <c r="F110" s="3" t="s">
        <v>37</v>
      </c>
      <c r="G110" t="s">
        <v>6</v>
      </c>
      <c r="H110" t="str">
        <f>VLOOKUP(C110,Sheet2!A:D,3,0)</f>
        <v>Reserve</v>
      </c>
      <c r="I110" t="str">
        <f>VLOOKUP(C110,Sheet2!A:D,4,0)</f>
        <v>Yes</v>
      </c>
      <c r="J110" t="s">
        <v>586</v>
      </c>
    </row>
    <row r="111" spans="1:10">
      <c r="A111" s="2" t="s">
        <v>273</v>
      </c>
      <c r="B111" s="2" t="s">
        <v>55</v>
      </c>
      <c r="C111" s="2" t="s">
        <v>274</v>
      </c>
      <c r="D111" s="2" t="s">
        <v>37</v>
      </c>
      <c r="E111" s="3" t="s">
        <v>14</v>
      </c>
      <c r="F111" s="3" t="s">
        <v>37</v>
      </c>
      <c r="G111" t="s">
        <v>14</v>
      </c>
      <c r="H111" t="e">
        <f>VLOOKUP(C111,Sheet2!A:D,3,0)</f>
        <v>#N/A</v>
      </c>
      <c r="I111" t="e">
        <f>VLOOKUP(C111,Sheet2!A:D,4,0)</f>
        <v>#N/A</v>
      </c>
      <c r="J111" t="e">
        <v>#N/A</v>
      </c>
    </row>
    <row r="112" spans="1:10">
      <c r="A112" s="2" t="s">
        <v>277</v>
      </c>
      <c r="B112" s="2" t="s">
        <v>52</v>
      </c>
      <c r="C112" s="2" t="s">
        <v>278</v>
      </c>
      <c r="D112" s="2" t="s">
        <v>37</v>
      </c>
      <c r="E112" s="3" t="s">
        <v>14</v>
      </c>
      <c r="F112" s="3" t="s">
        <v>37</v>
      </c>
      <c r="G112" t="s">
        <v>14</v>
      </c>
      <c r="H112" t="e">
        <f>VLOOKUP(C112,Sheet2!A:D,3,0)</f>
        <v>#N/A</v>
      </c>
      <c r="I112" t="e">
        <f>VLOOKUP(C112,Sheet2!A:D,4,0)</f>
        <v>#N/A</v>
      </c>
      <c r="J112" t="s">
        <v>586</v>
      </c>
    </row>
    <row r="113" spans="1:10">
      <c r="A113" s="2" t="s">
        <v>291</v>
      </c>
      <c r="B113" s="2" t="s">
        <v>292</v>
      </c>
      <c r="C113" s="2" t="s">
        <v>293</v>
      </c>
      <c r="D113" s="2" t="s">
        <v>37</v>
      </c>
      <c r="E113" s="3" t="s">
        <v>14</v>
      </c>
      <c r="F113" s="3" t="s">
        <v>37</v>
      </c>
      <c r="G113" t="s">
        <v>14</v>
      </c>
      <c r="H113" t="e">
        <f>VLOOKUP(C113,Sheet2!A:D,3,0)</f>
        <v>#N/A</v>
      </c>
      <c r="I113" t="e">
        <f>VLOOKUP(C113,Sheet2!A:D,4,0)</f>
        <v>#N/A</v>
      </c>
      <c r="J113" t="e">
        <v>#N/A</v>
      </c>
    </row>
    <row r="114" spans="1:10">
      <c r="A114" s="2" t="s">
        <v>300</v>
      </c>
      <c r="B114" s="2" t="s">
        <v>301</v>
      </c>
      <c r="C114" s="2" t="s">
        <v>302</v>
      </c>
      <c r="D114" s="2" t="s">
        <v>37</v>
      </c>
      <c r="E114" s="3" t="s">
        <v>6</v>
      </c>
      <c r="F114" s="3" t="s">
        <v>37</v>
      </c>
      <c r="G114" t="s">
        <v>6</v>
      </c>
      <c r="H114" t="str">
        <f>VLOOKUP(C114,Sheet2!A:D,3,0)</f>
        <v>Reserve</v>
      </c>
      <c r="I114" t="str">
        <f>VLOOKUP(C114,Sheet2!A:D,4,0)</f>
        <v>Yes</v>
      </c>
      <c r="J114" t="s">
        <v>586</v>
      </c>
    </row>
    <row r="115" spans="1:10">
      <c r="A115" s="2" t="s">
        <v>313</v>
      </c>
      <c r="B115" s="2" t="s">
        <v>52</v>
      </c>
      <c r="C115" s="2" t="s">
        <v>314</v>
      </c>
      <c r="D115" s="2" t="s">
        <v>37</v>
      </c>
      <c r="E115" s="3" t="s">
        <v>6</v>
      </c>
      <c r="F115" s="3" t="s">
        <v>37</v>
      </c>
      <c r="G115" t="s">
        <v>6</v>
      </c>
      <c r="H115" t="str">
        <f>VLOOKUP(C115,Sheet2!A:D,3,0)</f>
        <v>Reserve</v>
      </c>
      <c r="I115" t="str">
        <f>VLOOKUP(C115,Sheet2!A:D,4,0)</f>
        <v>Yes</v>
      </c>
      <c r="J115" t="s">
        <v>586</v>
      </c>
    </row>
    <row r="116" spans="1:10">
      <c r="A116" s="2" t="s">
        <v>330</v>
      </c>
      <c r="B116" s="2" t="s">
        <v>173</v>
      </c>
      <c r="C116" s="2" t="s">
        <v>331</v>
      </c>
      <c r="D116" s="2" t="s">
        <v>37</v>
      </c>
      <c r="E116" s="3" t="s">
        <v>14</v>
      </c>
      <c r="F116" s="3" t="s">
        <v>37</v>
      </c>
      <c r="G116" t="s">
        <v>14</v>
      </c>
      <c r="H116" t="str">
        <f>VLOOKUP(C116,Sheet2!A:D,3,0)</f>
        <v>Reserve</v>
      </c>
      <c r="I116" t="str">
        <f>VLOOKUP(C116,Sheet2!A:D,4,0)</f>
        <v>No</v>
      </c>
      <c r="J116" t="e">
        <v>#N/A</v>
      </c>
    </row>
    <row r="117" spans="1:10">
      <c r="A117" s="2" t="s">
        <v>361</v>
      </c>
      <c r="B117" s="2" t="s">
        <v>173</v>
      </c>
      <c r="C117" s="2" t="s">
        <v>362</v>
      </c>
      <c r="D117" s="2" t="s">
        <v>37</v>
      </c>
      <c r="E117" s="3" t="s">
        <v>14</v>
      </c>
      <c r="F117" s="3" t="s">
        <v>37</v>
      </c>
      <c r="G117" t="s">
        <v>14</v>
      </c>
      <c r="H117" t="e">
        <f>VLOOKUP(C117,Sheet2!A:D,3,0)</f>
        <v>#N/A</v>
      </c>
      <c r="I117" t="e">
        <f>VLOOKUP(C117,Sheet2!A:D,4,0)</f>
        <v>#N/A</v>
      </c>
      <c r="J117" t="s">
        <v>586</v>
      </c>
    </row>
    <row r="118" spans="1:10">
      <c r="A118" s="2" t="s">
        <v>363</v>
      </c>
      <c r="B118" s="2" t="s">
        <v>201</v>
      </c>
      <c r="C118" s="2" t="s">
        <v>364</v>
      </c>
      <c r="D118" s="2" t="s">
        <v>37</v>
      </c>
      <c r="E118" s="3" t="s">
        <v>14</v>
      </c>
      <c r="F118" s="3" t="s">
        <v>37</v>
      </c>
      <c r="G118" t="s">
        <v>14</v>
      </c>
      <c r="H118" t="str">
        <f>VLOOKUP(C118,Sheet2!A:D,3,0)</f>
        <v>Reserve</v>
      </c>
      <c r="I118" t="str">
        <f>VLOOKUP(C118,Sheet2!A:D,4,0)</f>
        <v>No</v>
      </c>
      <c r="J118" t="e">
        <v>#N/A</v>
      </c>
    </row>
    <row r="119" spans="1:10">
      <c r="A119" s="2" t="s">
        <v>404</v>
      </c>
      <c r="B119" s="2" t="s">
        <v>4</v>
      </c>
      <c r="C119" s="2" t="s">
        <v>405</v>
      </c>
      <c r="D119" s="2" t="s">
        <v>37</v>
      </c>
      <c r="E119" s="3" t="s">
        <v>6</v>
      </c>
      <c r="F119" s="3" t="s">
        <v>37</v>
      </c>
      <c r="G119" t="s">
        <v>6</v>
      </c>
      <c r="H119" t="e">
        <f>VLOOKUP(C119,Sheet2!A:D,3,0)</f>
        <v>#N/A</v>
      </c>
      <c r="I119" t="e">
        <f>VLOOKUP(C119,Sheet2!A:D,4,0)</f>
        <v>#N/A</v>
      </c>
      <c r="J119" t="s">
        <v>586</v>
      </c>
    </row>
    <row r="120" spans="1:10">
      <c r="A120" s="2" t="s">
        <v>406</v>
      </c>
      <c r="B120" s="2" t="s">
        <v>196</v>
      </c>
      <c r="C120" s="2" t="s">
        <v>407</v>
      </c>
      <c r="D120" s="2" t="s">
        <v>37</v>
      </c>
      <c r="E120" s="3" t="s">
        <v>6</v>
      </c>
      <c r="F120" s="3" t="s">
        <v>37</v>
      </c>
      <c r="G120" t="s">
        <v>6</v>
      </c>
      <c r="H120" t="str">
        <f>VLOOKUP(C120,Sheet2!A:D,3,0)</f>
        <v>Reserve</v>
      </c>
      <c r="I120" t="str">
        <f>VLOOKUP(C120,Sheet2!A:D,4,0)</f>
        <v>Yes</v>
      </c>
      <c r="J120" t="s">
        <v>586</v>
      </c>
    </row>
    <row r="121" spans="1:10">
      <c r="A121" s="2" t="s">
        <v>408</v>
      </c>
      <c r="B121" s="2" t="s">
        <v>196</v>
      </c>
      <c r="C121" s="2" t="s">
        <v>409</v>
      </c>
      <c r="D121" s="2" t="s">
        <v>37</v>
      </c>
      <c r="E121" s="3" t="s">
        <v>14</v>
      </c>
      <c r="F121" s="3" t="s">
        <v>37</v>
      </c>
      <c r="G121" t="s">
        <v>14</v>
      </c>
      <c r="H121" t="e">
        <f>VLOOKUP(C121,Sheet2!A:D,3,0)</f>
        <v>#N/A</v>
      </c>
      <c r="I121" t="e">
        <f>VLOOKUP(C121,Sheet2!A:D,4,0)</f>
        <v>#N/A</v>
      </c>
      <c r="J121" t="e">
        <v>#N/A</v>
      </c>
    </row>
    <row r="122" spans="1:10">
      <c r="A122" s="2" t="s">
        <v>537</v>
      </c>
      <c r="B122" s="2" t="s">
        <v>301</v>
      </c>
      <c r="C122" s="2" t="s">
        <v>538</v>
      </c>
      <c r="D122" s="2" t="s">
        <v>37</v>
      </c>
      <c r="E122" s="3" t="s">
        <v>6</v>
      </c>
      <c r="F122" s="3" t="s">
        <v>37</v>
      </c>
      <c r="G122" t="s">
        <v>14</v>
      </c>
      <c r="H122" t="str">
        <f>VLOOKUP(C122,Sheet2!A:D,3,0)</f>
        <v>Reserve</v>
      </c>
      <c r="I122" t="str">
        <f>VLOOKUP(C122,Sheet2!A:D,4,0)</f>
        <v>No</v>
      </c>
      <c r="J122" t="e">
        <v>#N/A</v>
      </c>
    </row>
    <row r="123" spans="1:10">
      <c r="A123" s="2" t="s">
        <v>541</v>
      </c>
      <c r="B123" s="2" t="s">
        <v>201</v>
      </c>
      <c r="C123" s="2" t="s">
        <v>542</v>
      </c>
      <c r="D123" s="2" t="s">
        <v>37</v>
      </c>
      <c r="E123" s="3" t="s">
        <v>14</v>
      </c>
      <c r="F123" s="3" t="s">
        <v>37</v>
      </c>
      <c r="G123" t="s">
        <v>14</v>
      </c>
      <c r="H123" t="str">
        <f>VLOOKUP(C123,Sheet2!A:D,3,0)</f>
        <v>Reserve</v>
      </c>
      <c r="I123" t="str">
        <f>VLOOKUP(C123,Sheet2!A:D,4,0)</f>
        <v>No</v>
      </c>
      <c r="J123" t="e">
        <v>#N/A</v>
      </c>
    </row>
    <row r="124" spans="1:10">
      <c r="A124" s="2" t="s">
        <v>556</v>
      </c>
      <c r="B124" s="2" t="s">
        <v>557</v>
      </c>
      <c r="C124" s="2" t="s">
        <v>558</v>
      </c>
      <c r="D124" s="2" t="s">
        <v>37</v>
      </c>
      <c r="E124" s="3" t="s">
        <v>14</v>
      </c>
      <c r="F124" s="3" t="s">
        <v>37</v>
      </c>
      <c r="G124" t="s">
        <v>14</v>
      </c>
      <c r="H124" t="str">
        <f>VLOOKUP(C124,Sheet2!A:D,3,0)</f>
        <v>Reserve</v>
      </c>
      <c r="I124" t="str">
        <f>VLOOKUP(C124,Sheet2!A:D,4,0)</f>
        <v>No</v>
      </c>
      <c r="J124" t="s">
        <v>586</v>
      </c>
    </row>
    <row r="125" spans="1:10">
      <c r="A125" s="2" t="s">
        <v>19</v>
      </c>
      <c r="B125" s="2" t="s">
        <v>4</v>
      </c>
      <c r="C125" s="2" t="s">
        <v>20</v>
      </c>
      <c r="D125" s="2" t="s">
        <v>21</v>
      </c>
      <c r="E125" s="3" t="s">
        <v>14</v>
      </c>
      <c r="F125" s="3" t="s">
        <v>21</v>
      </c>
      <c r="G125" t="s">
        <v>14</v>
      </c>
      <c r="H125" t="str">
        <f>VLOOKUP(C125,Sheet2!A:D,3,0)</f>
        <v>Watch</v>
      </c>
      <c r="I125" t="str">
        <f>VLOOKUP(C125,Sheet2!A:D,4,0)</f>
        <v>No</v>
      </c>
      <c r="J125" t="e">
        <v>#N/A</v>
      </c>
    </row>
    <row r="126" spans="1:10">
      <c r="A126" s="2" t="s">
        <v>22</v>
      </c>
      <c r="B126" s="2" t="s">
        <v>8</v>
      </c>
      <c r="C126" s="2" t="s">
        <v>23</v>
      </c>
      <c r="D126" s="2" t="s">
        <v>21</v>
      </c>
      <c r="E126" s="3" t="s">
        <v>14</v>
      </c>
      <c r="F126" s="3" t="s">
        <v>21</v>
      </c>
      <c r="G126" t="s">
        <v>14</v>
      </c>
      <c r="H126" t="e">
        <f>VLOOKUP(C126,Sheet2!A:D,3,0)</f>
        <v>#N/A</v>
      </c>
      <c r="I126" t="e">
        <f>VLOOKUP(C126,Sheet2!A:D,4,0)</f>
        <v>#N/A</v>
      </c>
      <c r="J126" t="e">
        <v>#N/A</v>
      </c>
    </row>
    <row r="127" spans="1:10">
      <c r="A127" s="2" t="s">
        <v>29</v>
      </c>
      <c r="B127" s="2" t="s">
        <v>30</v>
      </c>
      <c r="C127" s="2" t="s">
        <v>31</v>
      </c>
      <c r="D127" s="2" t="s">
        <v>21</v>
      </c>
      <c r="E127" s="3" t="s">
        <v>6</v>
      </c>
      <c r="F127" s="3" t="s">
        <v>21</v>
      </c>
      <c r="G127" t="s">
        <v>6</v>
      </c>
      <c r="H127" t="str">
        <f>VLOOKUP(C127,Sheet2!A:D,3,0)</f>
        <v>Watch</v>
      </c>
      <c r="I127" t="str">
        <f>VLOOKUP(C127,Sheet2!A:D,4,0)</f>
        <v>Yes</v>
      </c>
      <c r="J127" t="s">
        <v>587</v>
      </c>
    </row>
    <row r="128" spans="1:10">
      <c r="A128" s="2" t="s">
        <v>32</v>
      </c>
      <c r="B128" s="2" t="s">
        <v>8</v>
      </c>
      <c r="C128" s="2" t="s">
        <v>33</v>
      </c>
      <c r="D128" s="2" t="s">
        <v>21</v>
      </c>
      <c r="E128" s="3" t="s">
        <v>14</v>
      </c>
      <c r="F128" s="3" t="s">
        <v>21</v>
      </c>
      <c r="G128" t="s">
        <v>14</v>
      </c>
      <c r="H128" t="str">
        <f>VLOOKUP(C128,Sheet2!A:D,3,0)</f>
        <v>Watch</v>
      </c>
      <c r="I128" t="str">
        <f>VLOOKUP(C128,Sheet2!A:D,4,0)</f>
        <v>No</v>
      </c>
      <c r="J128" t="e">
        <v>#N/A</v>
      </c>
    </row>
    <row r="129" spans="1:10">
      <c r="A129" s="2" t="s">
        <v>43</v>
      </c>
      <c r="B129" s="2" t="s">
        <v>4</v>
      </c>
      <c r="C129" s="2" t="s">
        <v>44</v>
      </c>
      <c r="D129" s="2" t="s">
        <v>21</v>
      </c>
      <c r="E129" s="3" t="s">
        <v>14</v>
      </c>
      <c r="F129" s="3" t="s">
        <v>21</v>
      </c>
      <c r="G129" t="s">
        <v>14</v>
      </c>
      <c r="H129" t="e">
        <f>VLOOKUP(C129,Sheet2!A:D,3,0)</f>
        <v>#N/A</v>
      </c>
      <c r="I129" t="e">
        <f>VLOOKUP(C129,Sheet2!A:D,4,0)</f>
        <v>#N/A</v>
      </c>
      <c r="J129" t="e">
        <v>#N/A</v>
      </c>
    </row>
    <row r="130" spans="1:10">
      <c r="A130" s="2" t="s">
        <v>51</v>
      </c>
      <c r="B130" s="2" t="s">
        <v>52</v>
      </c>
      <c r="C130" s="2" t="s">
        <v>53</v>
      </c>
      <c r="D130" s="2" t="s">
        <v>21</v>
      </c>
      <c r="E130" s="3" t="s">
        <v>14</v>
      </c>
      <c r="F130" s="3" t="s">
        <v>21</v>
      </c>
      <c r="G130" t="s">
        <v>14</v>
      </c>
      <c r="H130" t="str">
        <f>VLOOKUP(C130,Sheet2!A:D,3,0)</f>
        <v>Watch</v>
      </c>
      <c r="I130" t="str">
        <f>VLOOKUP(C130,Sheet2!A:D,4,0)</f>
        <v>No</v>
      </c>
      <c r="J130" t="e">
        <v>#N/A</v>
      </c>
    </row>
    <row r="131" spans="1:10">
      <c r="A131" s="2" t="s">
        <v>57</v>
      </c>
      <c r="B131" s="2" t="s">
        <v>8</v>
      </c>
      <c r="C131" s="2" t="s">
        <v>58</v>
      </c>
      <c r="D131" s="2" t="s">
        <v>21</v>
      </c>
      <c r="E131" s="3" t="s">
        <v>14</v>
      </c>
      <c r="F131" s="3" t="s">
        <v>21</v>
      </c>
      <c r="G131" t="s">
        <v>14</v>
      </c>
      <c r="H131" t="str">
        <f>VLOOKUP(C131,Sheet2!A:D,3,0)</f>
        <v>Watch</v>
      </c>
      <c r="I131" t="str">
        <f>VLOOKUP(C131,Sheet2!A:D,4,0)</f>
        <v>No</v>
      </c>
      <c r="J131" t="e">
        <v>#N/A</v>
      </c>
    </row>
    <row r="132" spans="1:10">
      <c r="A132" s="2" t="s">
        <v>59</v>
      </c>
      <c r="B132" s="2" t="s">
        <v>8</v>
      </c>
      <c r="C132" s="2" t="s">
        <v>60</v>
      </c>
      <c r="D132" s="2" t="s">
        <v>21</v>
      </c>
      <c r="E132" s="3" t="s">
        <v>14</v>
      </c>
      <c r="F132" s="3" t="s">
        <v>21</v>
      </c>
      <c r="G132" t="s">
        <v>14</v>
      </c>
      <c r="H132" t="e">
        <f>VLOOKUP(C132,Sheet2!A:D,3,0)</f>
        <v>#N/A</v>
      </c>
      <c r="I132" t="e">
        <f>VLOOKUP(C132,Sheet2!A:D,4,0)</f>
        <v>#N/A</v>
      </c>
      <c r="J132" t="e">
        <v>#N/A</v>
      </c>
    </row>
    <row r="133" spans="1:10">
      <c r="A133" s="2" t="s">
        <v>66</v>
      </c>
      <c r="B133" s="2" t="s">
        <v>67</v>
      </c>
      <c r="C133" s="2" t="s">
        <v>68</v>
      </c>
      <c r="D133" s="2" t="s">
        <v>21</v>
      </c>
      <c r="E133" s="3" t="s">
        <v>14</v>
      </c>
      <c r="F133" s="3" t="s">
        <v>21</v>
      </c>
      <c r="G133" t="s">
        <v>14</v>
      </c>
      <c r="H133" t="str">
        <f>VLOOKUP(C133,Sheet2!A:D,3,0)</f>
        <v>Watch</v>
      </c>
      <c r="I133" t="str">
        <f>VLOOKUP(C133,Sheet2!A:D,4,0)</f>
        <v>No</v>
      </c>
      <c r="J133" t="e">
        <v>#N/A</v>
      </c>
    </row>
    <row r="134" spans="1:10">
      <c r="A134" s="2" t="s">
        <v>77</v>
      </c>
      <c r="B134" s="2" t="s">
        <v>67</v>
      </c>
      <c r="C134" s="2" t="s">
        <v>78</v>
      </c>
      <c r="D134" s="2" t="s">
        <v>21</v>
      </c>
      <c r="E134" s="3" t="s">
        <v>14</v>
      </c>
      <c r="F134" s="3" t="s">
        <v>21</v>
      </c>
      <c r="G134" t="s">
        <v>14</v>
      </c>
      <c r="H134" t="str">
        <f>VLOOKUP(C134,Sheet2!A:D,3,0)</f>
        <v>Watch</v>
      </c>
      <c r="I134" t="str">
        <f>VLOOKUP(C134,Sheet2!A:D,4,0)</f>
        <v>No</v>
      </c>
      <c r="J134" t="e">
        <v>#N/A</v>
      </c>
    </row>
    <row r="135" spans="1:10">
      <c r="A135" s="2" t="s">
        <v>87</v>
      </c>
      <c r="B135" s="2" t="s">
        <v>67</v>
      </c>
      <c r="C135" s="2" t="s">
        <v>88</v>
      </c>
      <c r="D135" s="2" t="s">
        <v>21</v>
      </c>
      <c r="E135" s="3" t="s">
        <v>14</v>
      </c>
      <c r="F135" s="3" t="s">
        <v>21</v>
      </c>
      <c r="G135" t="s">
        <v>14</v>
      </c>
      <c r="H135" t="str">
        <f>VLOOKUP(C135,Sheet2!A:D,3,0)</f>
        <v>Watch</v>
      </c>
      <c r="I135" t="str">
        <f>VLOOKUP(C135,Sheet2!A:D,4,0)</f>
        <v>No</v>
      </c>
      <c r="J135" t="e">
        <v>#N/A</v>
      </c>
    </row>
    <row r="136" spans="1:10">
      <c r="A136" s="2" t="s">
        <v>89</v>
      </c>
      <c r="B136" s="2" t="s">
        <v>90</v>
      </c>
      <c r="C136" s="2" t="s">
        <v>91</v>
      </c>
      <c r="D136" s="2" t="s">
        <v>21</v>
      </c>
      <c r="E136" s="3" t="s">
        <v>14</v>
      </c>
      <c r="F136" s="3" t="s">
        <v>21</v>
      </c>
      <c r="G136" t="s">
        <v>14</v>
      </c>
      <c r="H136" t="str">
        <f>VLOOKUP(C136,Sheet2!A:D,3,0)</f>
        <v>Watch</v>
      </c>
      <c r="I136" t="str">
        <f>VLOOKUP(C136,Sheet2!A:D,4,0)</f>
        <v>No</v>
      </c>
      <c r="J136" t="e">
        <v>#N/A</v>
      </c>
    </row>
    <row r="137" spans="1:10">
      <c r="A137" s="2" t="s">
        <v>92</v>
      </c>
      <c r="B137" s="2" t="s">
        <v>90</v>
      </c>
      <c r="C137" s="2" t="s">
        <v>93</v>
      </c>
      <c r="D137" s="2" t="s">
        <v>21</v>
      </c>
      <c r="E137" s="3" t="s">
        <v>14</v>
      </c>
      <c r="F137" s="3" t="s">
        <v>21</v>
      </c>
      <c r="G137" t="s">
        <v>14</v>
      </c>
      <c r="H137" t="str">
        <f>VLOOKUP(C137,Sheet2!A:D,3,0)</f>
        <v>Watch</v>
      </c>
      <c r="I137" t="str">
        <f>VLOOKUP(C137,Sheet2!A:D,4,0)</f>
        <v>No</v>
      </c>
      <c r="J137" t="e">
        <v>#N/A</v>
      </c>
    </row>
    <row r="138" spans="1:10">
      <c r="A138" s="2" t="s">
        <v>94</v>
      </c>
      <c r="B138" s="2" t="s">
        <v>90</v>
      </c>
      <c r="C138" s="2" t="s">
        <v>95</v>
      </c>
      <c r="D138" s="2" t="s">
        <v>21</v>
      </c>
      <c r="E138" s="3" t="s">
        <v>14</v>
      </c>
      <c r="F138" s="3" t="s">
        <v>21</v>
      </c>
      <c r="G138" t="s">
        <v>14</v>
      </c>
      <c r="H138" t="str">
        <f>VLOOKUP(C138,Sheet2!A:D,3,0)</f>
        <v>Watch</v>
      </c>
      <c r="I138" t="str">
        <f>VLOOKUP(C138,Sheet2!A:D,4,0)</f>
        <v>No</v>
      </c>
      <c r="J138" t="e">
        <v>#N/A</v>
      </c>
    </row>
    <row r="139" spans="1:10">
      <c r="A139" s="2" t="s">
        <v>96</v>
      </c>
      <c r="B139" s="2" t="s">
        <v>97</v>
      </c>
      <c r="C139" s="2" t="s">
        <v>98</v>
      </c>
      <c r="D139" s="2" t="s">
        <v>21</v>
      </c>
      <c r="E139" s="3" t="s">
        <v>14</v>
      </c>
      <c r="F139" s="3" t="s">
        <v>21</v>
      </c>
      <c r="G139" t="s">
        <v>14</v>
      </c>
      <c r="H139" t="str">
        <f>VLOOKUP(C139,Sheet2!A:D,3,0)</f>
        <v>Watch</v>
      </c>
      <c r="I139" t="str">
        <f>VLOOKUP(C139,Sheet2!A:D,4,0)</f>
        <v>No</v>
      </c>
      <c r="J139" t="s">
        <v>587</v>
      </c>
    </row>
    <row r="140" spans="1:10">
      <c r="A140" s="2" t="s">
        <v>99</v>
      </c>
      <c r="B140" s="2" t="s">
        <v>90</v>
      </c>
      <c r="C140" s="2" t="s">
        <v>100</v>
      </c>
      <c r="D140" s="2" t="s">
        <v>21</v>
      </c>
      <c r="E140" s="3" t="s">
        <v>14</v>
      </c>
      <c r="F140" s="3" t="s">
        <v>21</v>
      </c>
      <c r="G140" t="s">
        <v>14</v>
      </c>
      <c r="H140" t="str">
        <f>VLOOKUP(C140,Sheet2!A:D,3,0)</f>
        <v>Watch</v>
      </c>
      <c r="I140" t="str">
        <f>VLOOKUP(C140,Sheet2!A:D,4,0)</f>
        <v>No</v>
      </c>
      <c r="J140" t="e">
        <v>#N/A</v>
      </c>
    </row>
    <row r="141" spans="1:10">
      <c r="A141" s="2" t="s">
        <v>104</v>
      </c>
      <c r="B141" s="2" t="s">
        <v>90</v>
      </c>
      <c r="C141" s="2" t="s">
        <v>105</v>
      </c>
      <c r="D141" s="2" t="s">
        <v>21</v>
      </c>
      <c r="E141" s="3" t="s">
        <v>6</v>
      </c>
      <c r="F141" s="3" t="s">
        <v>21</v>
      </c>
      <c r="G141" t="s">
        <v>6</v>
      </c>
      <c r="H141" t="str">
        <f>VLOOKUP(C141,Sheet2!A:D,3,0)</f>
        <v>Watch</v>
      </c>
      <c r="I141" t="str">
        <f>VLOOKUP(C141,Sheet2!A:D,4,0)</f>
        <v>Yes</v>
      </c>
      <c r="J141" t="s">
        <v>587</v>
      </c>
    </row>
    <row r="142" spans="1:10">
      <c r="A142" s="2" t="s">
        <v>106</v>
      </c>
      <c r="B142" s="2" t="s">
        <v>90</v>
      </c>
      <c r="C142" s="2" t="s">
        <v>107</v>
      </c>
      <c r="D142" s="2" t="s">
        <v>21</v>
      </c>
      <c r="E142" s="3" t="s">
        <v>14</v>
      </c>
      <c r="F142" s="3" t="s">
        <v>21</v>
      </c>
      <c r="G142" t="s">
        <v>14</v>
      </c>
      <c r="H142" t="str">
        <f>VLOOKUP(C142,Sheet2!A:D,3,0)</f>
        <v>Watch</v>
      </c>
      <c r="I142" t="str">
        <f>VLOOKUP(C142,Sheet2!A:D,4,0)</f>
        <v>No</v>
      </c>
      <c r="J142" t="e">
        <v>#N/A</v>
      </c>
    </row>
    <row r="143" spans="1:10">
      <c r="A143" s="2" t="s">
        <v>108</v>
      </c>
      <c r="B143" s="2" t="s">
        <v>67</v>
      </c>
      <c r="C143" s="2" t="s">
        <v>109</v>
      </c>
      <c r="D143" s="2" t="s">
        <v>21</v>
      </c>
      <c r="E143" s="3" t="s">
        <v>14</v>
      </c>
      <c r="F143" s="3" t="s">
        <v>21</v>
      </c>
      <c r="G143" t="s">
        <v>14</v>
      </c>
      <c r="H143" t="str">
        <f>VLOOKUP(C143,Sheet2!A:D,3,0)</f>
        <v>Watch</v>
      </c>
      <c r="I143" t="str">
        <f>VLOOKUP(C143,Sheet2!A:D,4,0)</f>
        <v>No</v>
      </c>
      <c r="J143" t="e">
        <v>#N/A</v>
      </c>
    </row>
    <row r="144" spans="1:10">
      <c r="A144" s="2" t="s">
        <v>110</v>
      </c>
      <c r="B144" s="2" t="s">
        <v>67</v>
      </c>
      <c r="C144" s="2" t="s">
        <v>111</v>
      </c>
      <c r="D144" s="2" t="s">
        <v>21</v>
      </c>
      <c r="E144" s="3" t="s">
        <v>14</v>
      </c>
      <c r="F144" s="3" t="s">
        <v>21</v>
      </c>
      <c r="G144" t="s">
        <v>14</v>
      </c>
      <c r="H144" t="str">
        <f>VLOOKUP(C144,Sheet2!A:D,3,0)</f>
        <v>Watch</v>
      </c>
      <c r="I144" t="str">
        <f>VLOOKUP(C144,Sheet2!A:D,4,0)</f>
        <v>No</v>
      </c>
      <c r="J144" t="e">
        <v>#N/A</v>
      </c>
    </row>
    <row r="145" spans="1:10">
      <c r="A145" s="2" t="s">
        <v>112</v>
      </c>
      <c r="B145" s="2" t="s">
        <v>90</v>
      </c>
      <c r="C145" s="2" t="s">
        <v>113</v>
      </c>
      <c r="D145" s="2" t="s">
        <v>21</v>
      </c>
      <c r="E145" s="3" t="s">
        <v>14</v>
      </c>
      <c r="F145" s="3" t="s">
        <v>21</v>
      </c>
      <c r="G145" t="s">
        <v>14</v>
      </c>
      <c r="H145" t="str">
        <f>VLOOKUP(C145,Sheet2!A:D,3,0)</f>
        <v>Watch</v>
      </c>
      <c r="I145" t="str">
        <f>VLOOKUP(C145,Sheet2!A:D,4,0)</f>
        <v>No</v>
      </c>
      <c r="J145" t="e">
        <v>#N/A</v>
      </c>
    </row>
    <row r="146" spans="1:10">
      <c r="A146" s="2" t="s">
        <v>114</v>
      </c>
      <c r="B146" s="2" t="s">
        <v>67</v>
      </c>
      <c r="C146" s="2" t="s">
        <v>115</v>
      </c>
      <c r="D146" s="2" t="s">
        <v>21</v>
      </c>
      <c r="E146" s="3" t="s">
        <v>14</v>
      </c>
      <c r="F146" s="3" t="s">
        <v>21</v>
      </c>
      <c r="G146" t="s">
        <v>14</v>
      </c>
      <c r="H146" t="str">
        <f>VLOOKUP(C146,Sheet2!A:D,3,0)</f>
        <v>Watch</v>
      </c>
      <c r="I146" t="str">
        <f>VLOOKUP(C146,Sheet2!A:D,4,0)</f>
        <v>No</v>
      </c>
      <c r="J146" t="e">
        <v>#N/A</v>
      </c>
    </row>
    <row r="147" spans="1:10">
      <c r="A147" s="2" t="s">
        <v>116</v>
      </c>
      <c r="B147" s="2" t="s">
        <v>90</v>
      </c>
      <c r="C147" s="2" t="s">
        <v>117</v>
      </c>
      <c r="D147" s="2" t="s">
        <v>21</v>
      </c>
      <c r="E147" s="3" t="s">
        <v>14</v>
      </c>
      <c r="F147" s="3" t="s">
        <v>21</v>
      </c>
      <c r="G147" t="s">
        <v>14</v>
      </c>
      <c r="H147" t="str">
        <f>VLOOKUP(C147,Sheet2!A:D,3,0)</f>
        <v>Watch</v>
      </c>
      <c r="I147" t="str">
        <f>VLOOKUP(C147,Sheet2!A:D,4,0)</f>
        <v>No</v>
      </c>
      <c r="J147" t="e">
        <v>#N/A</v>
      </c>
    </row>
    <row r="148" spans="1:10">
      <c r="A148" s="2" t="s">
        <v>118</v>
      </c>
      <c r="B148" s="2" t="s">
        <v>67</v>
      </c>
      <c r="C148" s="2" t="s">
        <v>119</v>
      </c>
      <c r="D148" s="2" t="s">
        <v>21</v>
      </c>
      <c r="E148" s="3" t="s">
        <v>14</v>
      </c>
      <c r="F148" s="3" t="s">
        <v>21</v>
      </c>
      <c r="G148" t="s">
        <v>14</v>
      </c>
      <c r="H148" t="str">
        <f>VLOOKUP(C148,Sheet2!A:D,3,0)</f>
        <v>Watch</v>
      </c>
      <c r="I148" t="str">
        <f>VLOOKUP(C148,Sheet2!A:D,4,0)</f>
        <v>No</v>
      </c>
      <c r="J148" t="e">
        <v>#N/A</v>
      </c>
    </row>
    <row r="149" spans="1:10">
      <c r="A149" s="2" t="s">
        <v>120</v>
      </c>
      <c r="B149" s="2" t="s">
        <v>97</v>
      </c>
      <c r="C149" s="2" t="s">
        <v>121</v>
      </c>
      <c r="D149" s="2" t="s">
        <v>21</v>
      </c>
      <c r="E149" s="3" t="s">
        <v>14</v>
      </c>
      <c r="F149" s="3" t="s">
        <v>21</v>
      </c>
      <c r="G149" t="s">
        <v>14</v>
      </c>
      <c r="H149" t="e">
        <f>VLOOKUP(C149,Sheet2!A:D,3,0)</f>
        <v>#N/A</v>
      </c>
      <c r="I149" t="e">
        <f>VLOOKUP(C149,Sheet2!A:D,4,0)</f>
        <v>#N/A</v>
      </c>
      <c r="J149" t="e">
        <v>#N/A</v>
      </c>
    </row>
    <row r="150" spans="1:10">
      <c r="A150" s="2" t="s">
        <v>122</v>
      </c>
      <c r="B150" s="2" t="s">
        <v>90</v>
      </c>
      <c r="C150" s="2" t="s">
        <v>123</v>
      </c>
      <c r="D150" s="2" t="s">
        <v>21</v>
      </c>
      <c r="E150" s="3" t="s">
        <v>6</v>
      </c>
      <c r="F150" s="3" t="s">
        <v>21</v>
      </c>
      <c r="G150" t="s">
        <v>6</v>
      </c>
      <c r="H150" t="str">
        <f>VLOOKUP(C150,Sheet2!A:D,3,0)</f>
        <v>Watch</v>
      </c>
      <c r="I150" t="str">
        <f>VLOOKUP(C150,Sheet2!A:D,4,0)</f>
        <v>Yes</v>
      </c>
      <c r="J150" t="s">
        <v>587</v>
      </c>
    </row>
    <row r="151" spans="1:10">
      <c r="A151" s="2" t="s">
        <v>124</v>
      </c>
      <c r="B151" s="2" t="s">
        <v>67</v>
      </c>
      <c r="C151" s="2" t="s">
        <v>125</v>
      </c>
      <c r="D151" s="2" t="s">
        <v>21</v>
      </c>
      <c r="E151" s="3" t="s">
        <v>14</v>
      </c>
      <c r="F151" s="3" t="s">
        <v>21</v>
      </c>
      <c r="G151" t="s">
        <v>14</v>
      </c>
      <c r="H151" t="str">
        <f>VLOOKUP(C151,Sheet2!A:D,3,0)</f>
        <v>Watch</v>
      </c>
      <c r="I151" t="str">
        <f>VLOOKUP(C151,Sheet2!A:D,4,0)</f>
        <v>No</v>
      </c>
      <c r="J151" t="e">
        <v>#N/A</v>
      </c>
    </row>
    <row r="152" spans="1:10">
      <c r="A152" s="2" t="s">
        <v>126</v>
      </c>
      <c r="B152" s="2" t="s">
        <v>67</v>
      </c>
      <c r="C152" s="2" t="s">
        <v>127</v>
      </c>
      <c r="D152" s="2" t="s">
        <v>21</v>
      </c>
      <c r="E152" s="3" t="s">
        <v>14</v>
      </c>
      <c r="F152" s="3" t="s">
        <v>21</v>
      </c>
      <c r="G152" t="s">
        <v>14</v>
      </c>
      <c r="H152" t="str">
        <f>VLOOKUP(C152,Sheet2!A:D,3,0)</f>
        <v>Watch</v>
      </c>
      <c r="I152" t="str">
        <f>VLOOKUP(C152,Sheet2!A:D,4,0)</f>
        <v>No</v>
      </c>
      <c r="J152" t="e">
        <v>#N/A</v>
      </c>
    </row>
    <row r="153" spans="1:10">
      <c r="A153" s="2" t="s">
        <v>128</v>
      </c>
      <c r="B153" s="2" t="s">
        <v>67</v>
      </c>
      <c r="C153" s="2" t="s">
        <v>129</v>
      </c>
      <c r="D153" s="2" t="s">
        <v>21</v>
      </c>
      <c r="E153" s="3" t="s">
        <v>14</v>
      </c>
      <c r="F153" s="3" t="s">
        <v>21</v>
      </c>
      <c r="G153" t="s">
        <v>14</v>
      </c>
      <c r="H153" t="str">
        <f>VLOOKUP(C153,Sheet2!A:D,3,0)</f>
        <v>Watch</v>
      </c>
      <c r="I153" t="str">
        <f>VLOOKUP(C153,Sheet2!A:D,4,0)</f>
        <v>No</v>
      </c>
      <c r="J153" t="e">
        <v>#N/A</v>
      </c>
    </row>
    <row r="154" spans="1:10">
      <c r="A154" s="2" t="s">
        <v>130</v>
      </c>
      <c r="B154" s="2" t="s">
        <v>97</v>
      </c>
      <c r="C154" s="2" t="s">
        <v>131</v>
      </c>
      <c r="D154" s="2" t="s">
        <v>21</v>
      </c>
      <c r="E154" s="3" t="s">
        <v>14</v>
      </c>
      <c r="F154" s="3" t="s">
        <v>21</v>
      </c>
      <c r="G154" t="s">
        <v>14</v>
      </c>
      <c r="H154" t="str">
        <f>VLOOKUP(C154,Sheet2!A:D,3,0)</f>
        <v>Watch</v>
      </c>
      <c r="I154" t="str">
        <f>VLOOKUP(C154,Sheet2!A:D,4,0)</f>
        <v>No</v>
      </c>
      <c r="J154" t="e">
        <v>#N/A</v>
      </c>
    </row>
    <row r="155" spans="1:10">
      <c r="A155" s="2" t="s">
        <v>132</v>
      </c>
      <c r="B155" s="2" t="s">
        <v>90</v>
      </c>
      <c r="C155" s="2" t="s">
        <v>133</v>
      </c>
      <c r="D155" s="2" t="s">
        <v>21</v>
      </c>
      <c r="E155" s="3" t="s">
        <v>14</v>
      </c>
      <c r="F155" s="3" t="s">
        <v>21</v>
      </c>
      <c r="G155" t="s">
        <v>14</v>
      </c>
      <c r="H155" t="str">
        <f>VLOOKUP(C155,Sheet2!A:D,3,0)</f>
        <v>Watch</v>
      </c>
      <c r="I155" t="str">
        <f>VLOOKUP(C155,Sheet2!A:D,4,0)</f>
        <v>No</v>
      </c>
      <c r="J155" t="e">
        <v>#N/A</v>
      </c>
    </row>
    <row r="156" spans="1:10">
      <c r="A156" s="2" t="s">
        <v>134</v>
      </c>
      <c r="B156" s="2" t="s">
        <v>97</v>
      </c>
      <c r="C156" s="2" t="s">
        <v>135</v>
      </c>
      <c r="D156" s="2" t="s">
        <v>21</v>
      </c>
      <c r="E156" s="3" t="s">
        <v>14</v>
      </c>
      <c r="F156" s="3" t="s">
        <v>21</v>
      </c>
      <c r="G156" t="s">
        <v>14</v>
      </c>
      <c r="H156" t="str">
        <f>VLOOKUP(C156,Sheet2!A:D,3,0)</f>
        <v>Watch</v>
      </c>
      <c r="I156" t="str">
        <f>VLOOKUP(C156,Sheet2!A:D,4,0)</f>
        <v>No</v>
      </c>
      <c r="J156" t="e">
        <v>#N/A</v>
      </c>
    </row>
    <row r="157" spans="1:10">
      <c r="A157" s="2" t="s">
        <v>136</v>
      </c>
      <c r="B157" s="2" t="s">
        <v>90</v>
      </c>
      <c r="C157" s="2" t="s">
        <v>137</v>
      </c>
      <c r="D157" s="2" t="s">
        <v>21</v>
      </c>
      <c r="E157" s="3" t="s">
        <v>14</v>
      </c>
      <c r="F157" s="3" t="s">
        <v>21</v>
      </c>
      <c r="G157" t="s">
        <v>14</v>
      </c>
      <c r="H157" t="str">
        <f>VLOOKUP(C157,Sheet2!A:D,3,0)</f>
        <v>Watch</v>
      </c>
      <c r="I157" t="str">
        <f>VLOOKUP(C157,Sheet2!A:D,4,0)</f>
        <v>No</v>
      </c>
      <c r="J157" t="e">
        <v>#N/A</v>
      </c>
    </row>
    <row r="158" spans="1:10">
      <c r="A158" s="2" t="s">
        <v>138</v>
      </c>
      <c r="B158" s="2" t="s">
        <v>67</v>
      </c>
      <c r="C158" s="2" t="s">
        <v>139</v>
      </c>
      <c r="D158" s="2" t="s">
        <v>21</v>
      </c>
      <c r="E158" s="3" t="s">
        <v>14</v>
      </c>
      <c r="F158" s="3" t="s">
        <v>21</v>
      </c>
      <c r="G158" t="s">
        <v>14</v>
      </c>
      <c r="H158" t="str">
        <f>VLOOKUP(C158,Sheet2!A:D,3,0)</f>
        <v>Watch</v>
      </c>
      <c r="I158" t="str">
        <f>VLOOKUP(C158,Sheet2!A:D,4,0)</f>
        <v>No</v>
      </c>
      <c r="J158" t="e">
        <v>#N/A</v>
      </c>
    </row>
    <row r="159" spans="1:10">
      <c r="A159" s="2" t="s">
        <v>144</v>
      </c>
      <c r="B159" s="2" t="s">
        <v>90</v>
      </c>
      <c r="C159" s="2" t="s">
        <v>145</v>
      </c>
      <c r="D159" s="2" t="s">
        <v>21</v>
      </c>
      <c r="E159" s="3" t="s">
        <v>14</v>
      </c>
      <c r="F159" s="3" t="s">
        <v>21</v>
      </c>
      <c r="G159" t="s">
        <v>14</v>
      </c>
      <c r="H159" t="e">
        <f>VLOOKUP(C159,Sheet2!A:D,3,0)</f>
        <v>#N/A</v>
      </c>
      <c r="I159" t="e">
        <f>VLOOKUP(C159,Sheet2!A:D,4,0)</f>
        <v>#N/A</v>
      </c>
      <c r="J159" t="e">
        <v>#N/A</v>
      </c>
    </row>
    <row r="160" spans="1:10">
      <c r="A160" s="2" t="s">
        <v>149</v>
      </c>
      <c r="B160" s="2" t="s">
        <v>90</v>
      </c>
      <c r="C160" s="2" t="s">
        <v>150</v>
      </c>
      <c r="D160" s="2" t="s">
        <v>21</v>
      </c>
      <c r="E160" s="3" t="s">
        <v>6</v>
      </c>
      <c r="F160" s="3" t="s">
        <v>21</v>
      </c>
      <c r="G160" t="s">
        <v>6</v>
      </c>
      <c r="H160" t="str">
        <f>VLOOKUP(C160,Sheet2!A:D,3,0)</f>
        <v>Watch</v>
      </c>
      <c r="I160" t="str">
        <f>VLOOKUP(C160,Sheet2!A:D,4,0)</f>
        <v>Yes</v>
      </c>
      <c r="J160" t="s">
        <v>587</v>
      </c>
    </row>
    <row r="161" spans="1:10">
      <c r="A161" s="2" t="s">
        <v>153</v>
      </c>
      <c r="B161" s="2" t="s">
        <v>90</v>
      </c>
      <c r="C161" s="2" t="s">
        <v>154</v>
      </c>
      <c r="D161" s="2" t="s">
        <v>21</v>
      </c>
      <c r="E161" s="3" t="s">
        <v>14</v>
      </c>
      <c r="F161" s="3" t="s">
        <v>21</v>
      </c>
      <c r="G161" t="s">
        <v>14</v>
      </c>
      <c r="H161" t="str">
        <f>VLOOKUP(C161,Sheet2!A:D,3,0)</f>
        <v>Watch</v>
      </c>
      <c r="I161" t="str">
        <f>VLOOKUP(C161,Sheet2!A:D,4,0)</f>
        <v>No</v>
      </c>
      <c r="J161" t="e">
        <v>#N/A</v>
      </c>
    </row>
    <row r="162" spans="1:10">
      <c r="A162" s="2" t="s">
        <v>157</v>
      </c>
      <c r="B162" s="2" t="s">
        <v>90</v>
      </c>
      <c r="C162" s="2" t="s">
        <v>158</v>
      </c>
      <c r="D162" s="2" t="s">
        <v>21</v>
      </c>
      <c r="E162" s="3" t="s">
        <v>14</v>
      </c>
      <c r="F162" s="3" t="s">
        <v>21</v>
      </c>
      <c r="G162" t="s">
        <v>14</v>
      </c>
      <c r="H162" t="str">
        <f>VLOOKUP(C162,Sheet2!A:D,3,0)</f>
        <v>Watch</v>
      </c>
      <c r="I162" t="str">
        <f>VLOOKUP(C162,Sheet2!A:D,4,0)</f>
        <v>No</v>
      </c>
      <c r="J162" t="e">
        <v>#N/A</v>
      </c>
    </row>
    <row r="163" spans="1:10">
      <c r="A163" s="2" t="s">
        <v>159</v>
      </c>
      <c r="B163" s="2" t="s">
        <v>90</v>
      </c>
      <c r="C163" s="2" t="s">
        <v>160</v>
      </c>
      <c r="D163" s="2" t="s">
        <v>21</v>
      </c>
      <c r="E163" s="3" t="s">
        <v>14</v>
      </c>
      <c r="F163" s="3" t="s">
        <v>21</v>
      </c>
      <c r="G163" t="s">
        <v>14</v>
      </c>
      <c r="H163" t="str">
        <f>VLOOKUP(C163,Sheet2!A:D,3,0)</f>
        <v>Watch</v>
      </c>
      <c r="I163" t="str">
        <f>VLOOKUP(C163,Sheet2!A:D,4,0)</f>
        <v>No</v>
      </c>
      <c r="J163" t="e">
        <v>#N/A</v>
      </c>
    </row>
    <row r="164" spans="1:10">
      <c r="A164" s="2" t="s">
        <v>165</v>
      </c>
      <c r="B164" s="2" t="s">
        <v>90</v>
      </c>
      <c r="C164" s="2" t="s">
        <v>166</v>
      </c>
      <c r="D164" s="2" t="s">
        <v>21</v>
      </c>
      <c r="E164" s="3" t="s">
        <v>6</v>
      </c>
      <c r="F164" s="3" t="s">
        <v>21</v>
      </c>
      <c r="G164" t="s">
        <v>6</v>
      </c>
      <c r="H164" t="str">
        <f>VLOOKUP(C164,Sheet2!A:D,3,0)</f>
        <v>Watch</v>
      </c>
      <c r="I164" t="str">
        <f>VLOOKUP(C164,Sheet2!A:D,4,0)</f>
        <v>Yes</v>
      </c>
      <c r="J164" t="s">
        <v>587</v>
      </c>
    </row>
    <row r="165" spans="1:10">
      <c r="A165" s="2" t="s">
        <v>167</v>
      </c>
      <c r="B165" s="2" t="s">
        <v>67</v>
      </c>
      <c r="C165" s="2" t="s">
        <v>168</v>
      </c>
      <c r="D165" s="2" t="s">
        <v>21</v>
      </c>
      <c r="E165" s="3" t="s">
        <v>6</v>
      </c>
      <c r="F165" s="3" t="s">
        <v>21</v>
      </c>
      <c r="G165" t="s">
        <v>6</v>
      </c>
      <c r="H165" t="str">
        <f>VLOOKUP(C165,Sheet2!A:D,3,0)</f>
        <v>Watch</v>
      </c>
      <c r="I165" t="str">
        <f>VLOOKUP(C165,Sheet2!A:D,4,0)</f>
        <v>Yes</v>
      </c>
      <c r="J165" t="s">
        <v>587</v>
      </c>
    </row>
    <row r="166" spans="1:10">
      <c r="A166" s="2" t="s">
        <v>172</v>
      </c>
      <c r="B166" s="2" t="s">
        <v>173</v>
      </c>
      <c r="C166" s="2" t="s">
        <v>174</v>
      </c>
      <c r="D166" s="2" t="s">
        <v>21</v>
      </c>
      <c r="E166" s="3" t="s">
        <v>14</v>
      </c>
      <c r="F166" s="3" t="s">
        <v>21</v>
      </c>
      <c r="G166" t="s">
        <v>14</v>
      </c>
      <c r="H166" t="str">
        <f>VLOOKUP(C166,Sheet2!A:D,3,0)</f>
        <v>Watch</v>
      </c>
      <c r="I166" t="str">
        <f>VLOOKUP(C166,Sheet2!A:D,4,0)</f>
        <v>No</v>
      </c>
      <c r="J166" t="e">
        <v>#N/A</v>
      </c>
    </row>
    <row r="167" spans="1:10">
      <c r="A167" s="2" t="s">
        <v>175</v>
      </c>
      <c r="B167" s="2" t="s">
        <v>176</v>
      </c>
      <c r="C167" s="2" t="s">
        <v>177</v>
      </c>
      <c r="D167" s="2" t="s">
        <v>21</v>
      </c>
      <c r="E167" s="3" t="s">
        <v>14</v>
      </c>
      <c r="F167" s="3" t="s">
        <v>21</v>
      </c>
      <c r="G167" t="s">
        <v>14</v>
      </c>
      <c r="H167" t="e">
        <f>VLOOKUP(C167,Sheet2!A:D,3,0)</f>
        <v>#N/A</v>
      </c>
      <c r="I167" t="e">
        <f>VLOOKUP(C167,Sheet2!A:D,4,0)</f>
        <v>#N/A</v>
      </c>
      <c r="J167" t="e">
        <v>#N/A</v>
      </c>
    </row>
    <row r="168" spans="1:10">
      <c r="A168" s="2" t="s">
        <v>178</v>
      </c>
      <c r="B168" s="2" t="s">
        <v>179</v>
      </c>
      <c r="C168" s="2" t="s">
        <v>180</v>
      </c>
      <c r="D168" s="2" t="s">
        <v>21</v>
      </c>
      <c r="E168" s="3" t="s">
        <v>6</v>
      </c>
      <c r="F168" s="3" t="s">
        <v>21</v>
      </c>
      <c r="G168" t="s">
        <v>6</v>
      </c>
      <c r="H168" t="str">
        <f>VLOOKUP(C168,Sheet2!A:D,3,0)</f>
        <v>Watch</v>
      </c>
      <c r="I168" t="str">
        <f>VLOOKUP(C168,Sheet2!A:D,4,0)</f>
        <v>Yes</v>
      </c>
      <c r="J168" t="s">
        <v>587</v>
      </c>
    </row>
    <row r="169" spans="1:10">
      <c r="A169" s="2" t="s">
        <v>181</v>
      </c>
      <c r="B169" s="2" t="s">
        <v>30</v>
      </c>
      <c r="C169" s="2" t="s">
        <v>182</v>
      </c>
      <c r="D169" s="2" t="s">
        <v>21</v>
      </c>
      <c r="E169" s="3" t="s">
        <v>6</v>
      </c>
      <c r="F169" s="3" t="s">
        <v>21</v>
      </c>
      <c r="G169" t="s">
        <v>6</v>
      </c>
      <c r="H169" t="str">
        <f>VLOOKUP(C169,Sheet2!A:D,3,0)</f>
        <v>Watch</v>
      </c>
      <c r="I169" t="str">
        <f>VLOOKUP(C169,Sheet2!A:D,4,0)</f>
        <v>Yes</v>
      </c>
      <c r="J169" t="s">
        <v>587</v>
      </c>
    </row>
    <row r="170" spans="1:10">
      <c r="A170" s="2" t="s">
        <v>186</v>
      </c>
      <c r="B170" s="2" t="s">
        <v>187</v>
      </c>
      <c r="C170" s="2" t="s">
        <v>188</v>
      </c>
      <c r="D170" s="2" t="s">
        <v>21</v>
      </c>
      <c r="E170" s="3" t="s">
        <v>14</v>
      </c>
      <c r="F170" s="3" t="s">
        <v>21</v>
      </c>
      <c r="G170" t="s">
        <v>14</v>
      </c>
      <c r="H170" t="str">
        <f>VLOOKUP(C170,Sheet2!A:D,3,0)</f>
        <v>Watch</v>
      </c>
      <c r="I170" t="str">
        <f>VLOOKUP(C170,Sheet2!A:D,4,0)</f>
        <v>No</v>
      </c>
      <c r="J170" t="e">
        <v>#N/A</v>
      </c>
    </row>
    <row r="171" spans="1:10">
      <c r="A171" s="2" t="s">
        <v>191</v>
      </c>
      <c r="B171" s="2" t="s">
        <v>173</v>
      </c>
      <c r="C171" s="2" t="s">
        <v>192</v>
      </c>
      <c r="D171" s="2" t="s">
        <v>21</v>
      </c>
      <c r="E171" s="3" t="s">
        <v>14</v>
      </c>
      <c r="F171" s="3" t="s">
        <v>21</v>
      </c>
      <c r="G171" t="s">
        <v>14</v>
      </c>
      <c r="H171" t="e">
        <f>VLOOKUP(C171,Sheet2!A:D,3,0)</f>
        <v>#N/A</v>
      </c>
      <c r="I171" t="e">
        <f>VLOOKUP(C171,Sheet2!A:D,4,0)</f>
        <v>#N/A</v>
      </c>
      <c r="J171" t="e">
        <v>#N/A</v>
      </c>
    </row>
    <row r="172" spans="1:10">
      <c r="A172" s="2" t="s">
        <v>209</v>
      </c>
      <c r="B172" s="2" t="s">
        <v>179</v>
      </c>
      <c r="C172" s="2" t="s">
        <v>210</v>
      </c>
      <c r="D172" s="2" t="s">
        <v>21</v>
      </c>
      <c r="E172" s="3" t="s">
        <v>14</v>
      </c>
      <c r="F172" s="3" t="s">
        <v>21</v>
      </c>
      <c r="G172" t="s">
        <v>14</v>
      </c>
      <c r="H172" t="str">
        <f>VLOOKUP(C172,Sheet2!A:D,3,0)</f>
        <v>Watch</v>
      </c>
      <c r="I172" t="str">
        <f>VLOOKUP(C172,Sheet2!A:D,4,0)</f>
        <v>No</v>
      </c>
      <c r="J172" t="s">
        <v>587</v>
      </c>
    </row>
    <row r="173" spans="1:10">
      <c r="A173" s="2" t="s">
        <v>211</v>
      </c>
      <c r="B173" s="2" t="s">
        <v>173</v>
      </c>
      <c r="C173" s="2" t="s">
        <v>212</v>
      </c>
      <c r="D173" s="2" t="s">
        <v>21</v>
      </c>
      <c r="E173" s="3" t="s">
        <v>14</v>
      </c>
      <c r="F173" s="3" t="s">
        <v>21</v>
      </c>
      <c r="G173" t="s">
        <v>14</v>
      </c>
      <c r="H173" t="e">
        <f>VLOOKUP(C173,Sheet2!A:D,3,0)</f>
        <v>#N/A</v>
      </c>
      <c r="I173" t="e">
        <f>VLOOKUP(C173,Sheet2!A:D,4,0)</f>
        <v>#N/A</v>
      </c>
      <c r="J173" t="e">
        <v>#N/A</v>
      </c>
    </row>
    <row r="174" spans="1:10">
      <c r="A174" s="2" t="s">
        <v>213</v>
      </c>
      <c r="B174" s="2" t="s">
        <v>4</v>
      </c>
      <c r="C174" s="2" t="s">
        <v>214</v>
      </c>
      <c r="D174" s="2" t="s">
        <v>21</v>
      </c>
      <c r="E174" s="3" t="s">
        <v>14</v>
      </c>
      <c r="F174" s="3" t="s">
        <v>21</v>
      </c>
      <c r="G174" t="s">
        <v>14</v>
      </c>
      <c r="H174" t="str">
        <f>VLOOKUP(C174,Sheet2!A:D,3,0)</f>
        <v>Watch</v>
      </c>
      <c r="I174" t="str">
        <f>VLOOKUP(C174,Sheet2!A:D,4,0)</f>
        <v>No</v>
      </c>
      <c r="J174" t="e">
        <v>#N/A</v>
      </c>
    </row>
    <row r="175" spans="1:10">
      <c r="A175" s="2" t="s">
        <v>217</v>
      </c>
      <c r="B175" s="2" t="s">
        <v>30</v>
      </c>
      <c r="C175" s="2" t="s">
        <v>218</v>
      </c>
      <c r="D175" s="2" t="s">
        <v>21</v>
      </c>
      <c r="E175" s="3" t="s">
        <v>14</v>
      </c>
      <c r="F175" s="3" t="s">
        <v>21</v>
      </c>
      <c r="G175" t="s">
        <v>14</v>
      </c>
      <c r="H175" t="str">
        <f>VLOOKUP(C175,Sheet2!A:D,3,0)</f>
        <v>Watch</v>
      </c>
      <c r="I175" t="str">
        <f>VLOOKUP(C175,Sheet2!A:D,4,0)</f>
        <v>No</v>
      </c>
      <c r="J175" t="e">
        <v>#N/A</v>
      </c>
    </row>
    <row r="176" spans="1:10">
      <c r="A176" s="2" t="s">
        <v>219</v>
      </c>
      <c r="B176" s="2" t="s">
        <v>52</v>
      </c>
      <c r="C176" s="2" t="s">
        <v>220</v>
      </c>
      <c r="D176" s="2" t="s">
        <v>21</v>
      </c>
      <c r="E176" s="3" t="s">
        <v>14</v>
      </c>
      <c r="F176" s="3" t="s">
        <v>21</v>
      </c>
      <c r="G176" t="s">
        <v>14</v>
      </c>
      <c r="H176" t="str">
        <f>VLOOKUP(C176,Sheet2!A:D,3,0)</f>
        <v>Watch</v>
      </c>
      <c r="I176" t="str">
        <f>VLOOKUP(C176,Sheet2!A:D,4,0)</f>
        <v>No</v>
      </c>
      <c r="J176" t="e">
        <v>#N/A</v>
      </c>
    </row>
    <row r="177" spans="1:10">
      <c r="A177" s="2" t="s">
        <v>223</v>
      </c>
      <c r="B177" s="2" t="s">
        <v>179</v>
      </c>
      <c r="C177" s="2" t="s">
        <v>224</v>
      </c>
      <c r="D177" s="2" t="s">
        <v>21</v>
      </c>
      <c r="E177" s="3" t="s">
        <v>14</v>
      </c>
      <c r="F177" s="3" t="s">
        <v>21</v>
      </c>
      <c r="G177" t="s">
        <v>14</v>
      </c>
      <c r="H177" t="str">
        <f>VLOOKUP(C177,Sheet2!A:D,3,0)</f>
        <v>Watch</v>
      </c>
      <c r="I177" t="str">
        <f>VLOOKUP(C177,Sheet2!A:D,4,0)</f>
        <v>No</v>
      </c>
      <c r="J177" t="e">
        <v>#N/A</v>
      </c>
    </row>
    <row r="178" spans="1:10">
      <c r="A178" s="2" t="s">
        <v>229</v>
      </c>
      <c r="B178" s="2" t="s">
        <v>52</v>
      </c>
      <c r="C178" s="2" t="s">
        <v>230</v>
      </c>
      <c r="D178" s="2" t="s">
        <v>21</v>
      </c>
      <c r="E178" s="3" t="s">
        <v>14</v>
      </c>
      <c r="F178" s="3" t="s">
        <v>21</v>
      </c>
      <c r="G178" t="s">
        <v>14</v>
      </c>
      <c r="H178" t="str">
        <f>VLOOKUP(C178,Sheet2!A:D,3,0)</f>
        <v>Watch</v>
      </c>
      <c r="I178" t="str">
        <f>VLOOKUP(C178,Sheet2!A:D,4,0)</f>
        <v>No</v>
      </c>
      <c r="J178" t="e">
        <v>#N/A</v>
      </c>
    </row>
    <row r="179" spans="1:10">
      <c r="A179" s="2" t="s">
        <v>231</v>
      </c>
      <c r="B179" s="2" t="s">
        <v>30</v>
      </c>
      <c r="C179" s="2" t="s">
        <v>232</v>
      </c>
      <c r="D179" s="2" t="s">
        <v>21</v>
      </c>
      <c r="E179" s="3" t="s">
        <v>6</v>
      </c>
      <c r="F179" s="3" t="s">
        <v>21</v>
      </c>
      <c r="G179" t="s">
        <v>14</v>
      </c>
      <c r="H179" t="str">
        <f>VLOOKUP(C179,Sheet2!A:D,3,0)</f>
        <v>Watch</v>
      </c>
      <c r="I179" t="str">
        <f>VLOOKUP(C179,Sheet2!A:D,4,0)</f>
        <v>No</v>
      </c>
      <c r="J179" t="s">
        <v>587</v>
      </c>
    </row>
    <row r="180" spans="1:10">
      <c r="A180" s="2" t="s">
        <v>236</v>
      </c>
      <c r="B180" s="2" t="s">
        <v>30</v>
      </c>
      <c r="C180" s="2" t="s">
        <v>237</v>
      </c>
      <c r="D180" s="2" t="s">
        <v>21</v>
      </c>
      <c r="E180" s="3" t="s">
        <v>14</v>
      </c>
      <c r="F180" s="3" t="s">
        <v>21</v>
      </c>
      <c r="G180" t="s">
        <v>14</v>
      </c>
      <c r="H180" t="e">
        <f>VLOOKUP(C180,Sheet2!A:D,3,0)</f>
        <v>#N/A</v>
      </c>
      <c r="I180" t="e">
        <f>VLOOKUP(C180,Sheet2!A:D,4,0)</f>
        <v>#N/A</v>
      </c>
      <c r="J180" t="e">
        <v>#N/A</v>
      </c>
    </row>
    <row r="181" spans="1:10">
      <c r="A181" s="2" t="s">
        <v>238</v>
      </c>
      <c r="B181" s="2" t="s">
        <v>179</v>
      </c>
      <c r="C181" s="2" t="s">
        <v>239</v>
      </c>
      <c r="D181" s="2" t="s">
        <v>21</v>
      </c>
      <c r="E181" s="3" t="s">
        <v>14</v>
      </c>
      <c r="F181" s="3" t="s">
        <v>21</v>
      </c>
      <c r="G181" t="s">
        <v>14</v>
      </c>
      <c r="H181" t="str">
        <f>VLOOKUP(C181,Sheet2!A:D,3,0)</f>
        <v>Watch</v>
      </c>
      <c r="I181" t="str">
        <f>VLOOKUP(C181,Sheet2!A:D,4,0)</f>
        <v>No</v>
      </c>
      <c r="J181" t="e">
        <v>#N/A</v>
      </c>
    </row>
    <row r="182" spans="1:10">
      <c r="A182" s="2" t="s">
        <v>240</v>
      </c>
      <c r="B182" s="2" t="s">
        <v>67</v>
      </c>
      <c r="C182" s="2" t="s">
        <v>241</v>
      </c>
      <c r="D182" s="2" t="s">
        <v>21</v>
      </c>
      <c r="E182" s="3" t="s">
        <v>14</v>
      </c>
      <c r="F182" s="3" t="s">
        <v>21</v>
      </c>
      <c r="G182" t="s">
        <v>14</v>
      </c>
      <c r="H182" t="str">
        <f>VLOOKUP(C182,Sheet2!A:D,3,0)</f>
        <v>Watch</v>
      </c>
      <c r="I182" t="str">
        <f>VLOOKUP(C182,Sheet2!A:D,4,0)</f>
        <v>No</v>
      </c>
      <c r="J182" t="s">
        <v>587</v>
      </c>
    </row>
    <row r="183" spans="1:10">
      <c r="A183" s="2" t="s">
        <v>244</v>
      </c>
      <c r="B183" s="2" t="s">
        <v>176</v>
      </c>
      <c r="C183" s="2" t="s">
        <v>245</v>
      </c>
      <c r="D183" s="2" t="s">
        <v>21</v>
      </c>
      <c r="E183" s="3" t="s">
        <v>14</v>
      </c>
      <c r="F183" s="3" t="s">
        <v>21</v>
      </c>
      <c r="G183" t="s">
        <v>14</v>
      </c>
      <c r="H183" t="str">
        <f>VLOOKUP(C183,Sheet2!A:D,3,0)</f>
        <v>Watch</v>
      </c>
      <c r="I183" t="str">
        <f>VLOOKUP(C183,Sheet2!A:D,4,0)</f>
        <v>No</v>
      </c>
      <c r="J183" t="e">
        <v>#N/A</v>
      </c>
    </row>
    <row r="184" spans="1:10">
      <c r="A184" s="2" t="s">
        <v>246</v>
      </c>
      <c r="B184" s="2" t="s">
        <v>30</v>
      </c>
      <c r="C184" s="2" t="s">
        <v>247</v>
      </c>
      <c r="D184" s="2" t="s">
        <v>21</v>
      </c>
      <c r="E184" s="3" t="s">
        <v>14</v>
      </c>
      <c r="F184" s="3" t="s">
        <v>21</v>
      </c>
      <c r="G184" t="s">
        <v>14</v>
      </c>
      <c r="H184" t="e">
        <f>VLOOKUP(C184,Sheet2!A:D,3,0)</f>
        <v>#N/A</v>
      </c>
      <c r="I184" t="e">
        <f>VLOOKUP(C184,Sheet2!A:D,4,0)</f>
        <v>#N/A</v>
      </c>
      <c r="J184" t="e">
        <v>#N/A</v>
      </c>
    </row>
    <row r="185" spans="1:10">
      <c r="A185" s="2" t="s">
        <v>251</v>
      </c>
      <c r="B185" s="2" t="s">
        <v>249</v>
      </c>
      <c r="C185" s="2" t="s">
        <v>250</v>
      </c>
      <c r="D185" s="2" t="s">
        <v>21</v>
      </c>
      <c r="E185" s="3" t="s">
        <v>14</v>
      </c>
      <c r="F185" s="3" t="s">
        <v>579</v>
      </c>
      <c r="G185" t="s">
        <v>14</v>
      </c>
      <c r="H185" t="str">
        <f>VLOOKUP(C185,Sheet2!A:D,3,0)</f>
        <v>Reserve</v>
      </c>
      <c r="I185" t="str">
        <f>VLOOKUP(C185,Sheet2!A:D,4,0)</f>
        <v>Yes</v>
      </c>
      <c r="J185" t="s">
        <v>586</v>
      </c>
    </row>
    <row r="186" spans="1:10">
      <c r="A186" s="2" t="s">
        <v>255</v>
      </c>
      <c r="B186" s="2" t="s">
        <v>256</v>
      </c>
      <c r="C186" s="2" t="s">
        <v>257</v>
      </c>
      <c r="D186" s="2" t="s">
        <v>21</v>
      </c>
      <c r="E186" s="3" t="s">
        <v>14</v>
      </c>
      <c r="F186" s="3" t="s">
        <v>21</v>
      </c>
      <c r="G186" t="s">
        <v>14</v>
      </c>
      <c r="H186" t="str">
        <f>VLOOKUP(C186,Sheet2!A:D,3,0)</f>
        <v>Watch</v>
      </c>
      <c r="I186" t="str">
        <f>VLOOKUP(C186,Sheet2!A:D,4,0)</f>
        <v>No</v>
      </c>
      <c r="J186" t="e">
        <v>#N/A</v>
      </c>
    </row>
    <row r="187" spans="1:10">
      <c r="A187" s="2" t="s">
        <v>258</v>
      </c>
      <c r="B187" s="2" t="s">
        <v>179</v>
      </c>
      <c r="C187" s="2" t="s">
        <v>259</v>
      </c>
      <c r="D187" s="2" t="s">
        <v>21</v>
      </c>
      <c r="E187" s="3" t="s">
        <v>14</v>
      </c>
      <c r="F187" s="3" t="s">
        <v>21</v>
      </c>
      <c r="G187" t="s">
        <v>14</v>
      </c>
      <c r="H187" t="str">
        <f>VLOOKUP(C187,Sheet2!A:D,3,0)</f>
        <v>Watch</v>
      </c>
      <c r="I187" t="str">
        <f>VLOOKUP(C187,Sheet2!A:D,4,0)</f>
        <v>No</v>
      </c>
      <c r="J187" t="e">
        <v>#N/A</v>
      </c>
    </row>
    <row r="188" spans="1:10">
      <c r="A188" s="2" t="s">
        <v>260</v>
      </c>
      <c r="B188" s="2" t="s">
        <v>179</v>
      </c>
      <c r="C188" s="2" t="s">
        <v>261</v>
      </c>
      <c r="D188" s="2" t="s">
        <v>21</v>
      </c>
      <c r="E188" s="3" t="s">
        <v>14</v>
      </c>
      <c r="F188" s="3" t="s">
        <v>21</v>
      </c>
      <c r="G188" t="s">
        <v>14</v>
      </c>
      <c r="H188" t="str">
        <f>VLOOKUP(C188,Sheet2!A:D,3,0)</f>
        <v>Watch</v>
      </c>
      <c r="I188" t="str">
        <f>VLOOKUP(C188,Sheet2!A:D,4,0)</f>
        <v>No</v>
      </c>
      <c r="J188" t="s">
        <v>585</v>
      </c>
    </row>
    <row r="189" spans="1:10">
      <c r="A189" s="2" t="s">
        <v>262</v>
      </c>
      <c r="B189" s="2" t="s">
        <v>179</v>
      </c>
      <c r="C189" s="2" t="s">
        <v>263</v>
      </c>
      <c r="D189" s="2" t="s">
        <v>21</v>
      </c>
      <c r="E189" s="3" t="s">
        <v>14</v>
      </c>
      <c r="F189" s="3" t="s">
        <v>21</v>
      </c>
      <c r="G189" t="s">
        <v>14</v>
      </c>
      <c r="H189" t="str">
        <f>VLOOKUP(C189,Sheet2!A:D,3,0)</f>
        <v>Watch</v>
      </c>
      <c r="I189" t="str">
        <f>VLOOKUP(C189,Sheet2!A:D,4,0)</f>
        <v>No</v>
      </c>
      <c r="J189" t="e">
        <v>#N/A</v>
      </c>
    </row>
    <row r="190" spans="1:10">
      <c r="A190" s="2" t="s">
        <v>266</v>
      </c>
      <c r="B190" s="3" t="s">
        <v>267</v>
      </c>
      <c r="C190" s="3" t="s">
        <v>268</v>
      </c>
      <c r="D190" s="3" t="s">
        <v>21</v>
      </c>
      <c r="E190" s="3" t="s">
        <v>14</v>
      </c>
      <c r="F190" s="3" t="e">
        <v>#N/A</v>
      </c>
      <c r="G190" t="e">
        <v>#N/A</v>
      </c>
      <c r="H190" t="e">
        <f>VLOOKUP(C190,Sheet2!A:D,3,0)</f>
        <v>#N/A</v>
      </c>
      <c r="I190" t="e">
        <f>VLOOKUP(C190,Sheet2!A:D,4,0)</f>
        <v>#N/A</v>
      </c>
      <c r="J190" t="e">
        <v>#N/A</v>
      </c>
    </row>
    <row r="191" spans="1:10">
      <c r="A191" s="2" t="s">
        <v>269</v>
      </c>
      <c r="B191" s="2" t="s">
        <v>179</v>
      </c>
      <c r="C191" s="2" t="s">
        <v>270</v>
      </c>
      <c r="D191" s="2" t="s">
        <v>21</v>
      </c>
      <c r="E191" s="3" t="s">
        <v>14</v>
      </c>
      <c r="F191" s="3" t="s">
        <v>21</v>
      </c>
      <c r="G191" t="s">
        <v>14</v>
      </c>
      <c r="H191" t="e">
        <f>VLOOKUP(C191,Sheet2!A:D,3,0)</f>
        <v>#N/A</v>
      </c>
      <c r="I191" t="e">
        <f>VLOOKUP(C191,Sheet2!A:D,4,0)</f>
        <v>#N/A</v>
      </c>
      <c r="J191" t="e">
        <v>#N/A</v>
      </c>
    </row>
    <row r="192" spans="1:10">
      <c r="A192" s="2" t="s">
        <v>275</v>
      </c>
      <c r="B192" s="2" t="s">
        <v>52</v>
      </c>
      <c r="C192" s="2" t="s">
        <v>276</v>
      </c>
      <c r="D192" s="2" t="s">
        <v>21</v>
      </c>
      <c r="E192" s="3" t="s">
        <v>6</v>
      </c>
      <c r="F192" s="3" t="s">
        <v>21</v>
      </c>
      <c r="G192" t="s">
        <v>14</v>
      </c>
      <c r="H192" t="str">
        <f>VLOOKUP(C192,Sheet2!A:D,3,0)</f>
        <v>Watch</v>
      </c>
      <c r="I192" t="str">
        <f>VLOOKUP(C192,Sheet2!A:D,4,0)</f>
        <v>No</v>
      </c>
      <c r="J192" t="s">
        <v>587</v>
      </c>
    </row>
    <row r="193" spans="1:10">
      <c r="A193" s="2" t="s">
        <v>279</v>
      </c>
      <c r="B193" s="2" t="s">
        <v>4</v>
      </c>
      <c r="C193" s="2" t="s">
        <v>280</v>
      </c>
      <c r="D193" s="2" t="s">
        <v>21</v>
      </c>
      <c r="E193" s="3" t="s">
        <v>14</v>
      </c>
      <c r="F193" s="3" t="s">
        <v>21</v>
      </c>
      <c r="G193" t="s">
        <v>14</v>
      </c>
      <c r="H193" t="str">
        <f>VLOOKUP(C193,Sheet2!A:D,3,0)</f>
        <v>Watch</v>
      </c>
      <c r="I193" t="str">
        <f>VLOOKUP(C193,Sheet2!A:D,4,0)</f>
        <v>No</v>
      </c>
      <c r="J193" t="e">
        <v>#N/A</v>
      </c>
    </row>
    <row r="194" spans="1:10">
      <c r="A194" s="2" t="s">
        <v>281</v>
      </c>
      <c r="B194" s="2" t="s">
        <v>30</v>
      </c>
      <c r="C194" s="2" t="s">
        <v>282</v>
      </c>
      <c r="D194" s="2" t="s">
        <v>21</v>
      </c>
      <c r="E194" s="3" t="s">
        <v>14</v>
      </c>
      <c r="F194" s="3" t="s">
        <v>21</v>
      </c>
      <c r="G194" t="s">
        <v>14</v>
      </c>
      <c r="H194" t="str">
        <f>VLOOKUP(C194,Sheet2!A:D,3,0)</f>
        <v>Watch</v>
      </c>
      <c r="I194" t="str">
        <f>VLOOKUP(C194,Sheet2!A:D,4,0)</f>
        <v>No</v>
      </c>
      <c r="J194" t="e">
        <v>#N/A</v>
      </c>
    </row>
    <row r="195" spans="1:10">
      <c r="A195" s="2" t="s">
        <v>283</v>
      </c>
      <c r="B195" s="2" t="s">
        <v>4</v>
      </c>
      <c r="C195" s="2" t="s">
        <v>284</v>
      </c>
      <c r="D195" s="2" t="s">
        <v>21</v>
      </c>
      <c r="E195" s="3" t="s">
        <v>14</v>
      </c>
      <c r="F195" s="3" t="s">
        <v>21</v>
      </c>
      <c r="G195" t="s">
        <v>14</v>
      </c>
      <c r="H195" t="str">
        <f>VLOOKUP(C195,Sheet2!A:D,3,0)</f>
        <v>Watch</v>
      </c>
      <c r="I195" t="str">
        <f>VLOOKUP(C195,Sheet2!A:D,4,0)</f>
        <v>No</v>
      </c>
      <c r="J195" t="s">
        <v>585</v>
      </c>
    </row>
    <row r="196" spans="1:10">
      <c r="A196" s="2" t="s">
        <v>285</v>
      </c>
      <c r="B196" s="2" t="s">
        <v>4</v>
      </c>
      <c r="C196" s="2" t="s">
        <v>286</v>
      </c>
      <c r="D196" s="2" t="s">
        <v>21</v>
      </c>
      <c r="E196" s="3" t="s">
        <v>14</v>
      </c>
      <c r="F196" s="3" t="s">
        <v>21</v>
      </c>
      <c r="G196" t="s">
        <v>14</v>
      </c>
      <c r="H196" t="e">
        <f>VLOOKUP(C196,Sheet2!A:D,3,0)</f>
        <v>#N/A</v>
      </c>
      <c r="I196" t="e">
        <f>VLOOKUP(C196,Sheet2!A:D,4,0)</f>
        <v>#N/A</v>
      </c>
      <c r="J196" t="e">
        <v>#N/A</v>
      </c>
    </row>
    <row r="197" spans="1:10">
      <c r="A197" s="2" t="s">
        <v>287</v>
      </c>
      <c r="B197" s="2" t="s">
        <v>179</v>
      </c>
      <c r="C197" s="2" t="s">
        <v>288</v>
      </c>
      <c r="D197" s="2" t="s">
        <v>21</v>
      </c>
      <c r="E197" s="3" t="s">
        <v>14</v>
      </c>
      <c r="F197" s="3" t="s">
        <v>21</v>
      </c>
      <c r="G197" t="s">
        <v>14</v>
      </c>
      <c r="H197" t="e">
        <f>VLOOKUP(C197,Sheet2!A:D,3,0)</f>
        <v>#N/A</v>
      </c>
      <c r="I197" t="e">
        <f>VLOOKUP(C197,Sheet2!A:D,4,0)</f>
        <v>#N/A</v>
      </c>
      <c r="J197" t="e">
        <v>#N/A</v>
      </c>
    </row>
    <row r="198" spans="1:10">
      <c r="A198" s="2" t="s">
        <v>289</v>
      </c>
      <c r="B198" s="2" t="s">
        <v>90</v>
      </c>
      <c r="C198" s="2" t="s">
        <v>290</v>
      </c>
      <c r="D198" s="2" t="s">
        <v>21</v>
      </c>
      <c r="E198" s="3" t="s">
        <v>14</v>
      </c>
      <c r="F198" s="3" t="s">
        <v>21</v>
      </c>
      <c r="G198" t="s">
        <v>14</v>
      </c>
      <c r="H198" t="str">
        <f>VLOOKUP(C198,Sheet2!A:D,3,0)</f>
        <v>Watch</v>
      </c>
      <c r="I198" t="str">
        <f>VLOOKUP(C198,Sheet2!A:D,4,0)</f>
        <v>No</v>
      </c>
      <c r="J198" t="e">
        <v>#N/A</v>
      </c>
    </row>
    <row r="199" spans="1:10">
      <c r="A199" s="2" t="s">
        <v>294</v>
      </c>
      <c r="B199" s="2" t="s">
        <v>179</v>
      </c>
      <c r="C199" s="2" t="s">
        <v>295</v>
      </c>
      <c r="D199" s="2" t="s">
        <v>21</v>
      </c>
      <c r="E199" s="3" t="s">
        <v>14</v>
      </c>
      <c r="F199" s="3" t="s">
        <v>21</v>
      </c>
      <c r="G199" t="s">
        <v>14</v>
      </c>
      <c r="H199" t="str">
        <f>VLOOKUP(C199,Sheet2!A:D,3,0)</f>
        <v>Watch</v>
      </c>
      <c r="I199" t="str">
        <f>VLOOKUP(C199,Sheet2!A:D,4,0)</f>
        <v>No</v>
      </c>
      <c r="J199" t="s">
        <v>585</v>
      </c>
    </row>
    <row r="200" spans="1:10">
      <c r="A200" s="2" t="s">
        <v>296</v>
      </c>
      <c r="B200" s="2" t="s">
        <v>179</v>
      </c>
      <c r="C200" s="2" t="s">
        <v>297</v>
      </c>
      <c r="D200" s="2" t="s">
        <v>21</v>
      </c>
      <c r="E200" s="3" t="s">
        <v>14</v>
      </c>
      <c r="F200" s="3" t="s">
        <v>21</v>
      </c>
      <c r="G200" t="s">
        <v>14</v>
      </c>
      <c r="H200" t="e">
        <f>VLOOKUP(C200,Sheet2!A:D,3,0)</f>
        <v>#N/A</v>
      </c>
      <c r="I200" t="e">
        <f>VLOOKUP(C200,Sheet2!A:D,4,0)</f>
        <v>#N/A</v>
      </c>
      <c r="J200" t="e">
        <v>#N/A</v>
      </c>
    </row>
    <row r="201" spans="1:10">
      <c r="A201" s="2" t="s">
        <v>298</v>
      </c>
      <c r="B201" s="2" t="s">
        <v>184</v>
      </c>
      <c r="C201" s="2" t="s">
        <v>299</v>
      </c>
      <c r="D201" s="2" t="s">
        <v>21</v>
      </c>
      <c r="E201" s="3" t="s">
        <v>14</v>
      </c>
      <c r="F201" s="3" t="s">
        <v>21</v>
      </c>
      <c r="G201" t="s">
        <v>14</v>
      </c>
      <c r="H201" t="str">
        <f>VLOOKUP(C201,Sheet2!A:D,3,0)</f>
        <v>Watch</v>
      </c>
      <c r="I201" t="str">
        <f>VLOOKUP(C201,Sheet2!A:D,4,0)</f>
        <v>No</v>
      </c>
      <c r="J201" t="e">
        <v>#N/A</v>
      </c>
    </row>
    <row r="202" spans="1:10">
      <c r="A202" s="2" t="s">
        <v>303</v>
      </c>
      <c r="B202" s="2" t="s">
        <v>179</v>
      </c>
      <c r="C202" s="2" t="s">
        <v>304</v>
      </c>
      <c r="D202" s="2" t="s">
        <v>21</v>
      </c>
      <c r="E202" s="3" t="s">
        <v>14</v>
      </c>
      <c r="F202" s="3" t="s">
        <v>21</v>
      </c>
      <c r="G202" t="s">
        <v>14</v>
      </c>
      <c r="H202" t="str">
        <f>VLOOKUP(C202,Sheet2!A:D,3,0)</f>
        <v>Watch</v>
      </c>
      <c r="I202" t="str">
        <f>VLOOKUP(C202,Sheet2!A:D,4,0)</f>
        <v>No</v>
      </c>
      <c r="J202" t="e">
        <v>#N/A</v>
      </c>
    </row>
    <row r="203" spans="1:10">
      <c r="A203" s="2" t="s">
        <v>305</v>
      </c>
      <c r="B203" s="2" t="s">
        <v>67</v>
      </c>
      <c r="C203" s="2" t="s">
        <v>306</v>
      </c>
      <c r="D203" s="2" t="s">
        <v>21</v>
      </c>
      <c r="E203" s="3" t="s">
        <v>14</v>
      </c>
      <c r="F203" s="3" t="s">
        <v>21</v>
      </c>
      <c r="G203" t="s">
        <v>14</v>
      </c>
      <c r="H203" t="e">
        <f>VLOOKUP(C203,Sheet2!A:D,3,0)</f>
        <v>#N/A</v>
      </c>
      <c r="I203" t="e">
        <f>VLOOKUP(C203,Sheet2!A:D,4,0)</f>
        <v>#N/A</v>
      </c>
      <c r="J203" t="e">
        <v>#N/A</v>
      </c>
    </row>
    <row r="204" spans="1:10">
      <c r="A204" s="2" t="s">
        <v>307</v>
      </c>
      <c r="B204" s="2" t="s">
        <v>173</v>
      </c>
      <c r="C204" s="2" t="s">
        <v>308</v>
      </c>
      <c r="D204" s="2" t="s">
        <v>21</v>
      </c>
      <c r="E204" s="3" t="s">
        <v>14</v>
      </c>
      <c r="F204" s="3" t="s">
        <v>21</v>
      </c>
      <c r="G204" t="s">
        <v>14</v>
      </c>
      <c r="H204" t="str">
        <f>VLOOKUP(C204,Sheet2!A:D,3,0)</f>
        <v>Watch</v>
      </c>
      <c r="I204" t="str">
        <f>VLOOKUP(C204,Sheet2!A:D,4,0)</f>
        <v>No</v>
      </c>
      <c r="J204" t="e">
        <v>#N/A</v>
      </c>
    </row>
    <row r="205" spans="1:10">
      <c r="A205" s="2" t="s">
        <v>311</v>
      </c>
      <c r="B205" s="2" t="s">
        <v>52</v>
      </c>
      <c r="C205" s="2" t="s">
        <v>312</v>
      </c>
      <c r="D205" s="2" t="s">
        <v>21</v>
      </c>
      <c r="E205" s="3" t="s">
        <v>6</v>
      </c>
      <c r="F205" s="3" t="s">
        <v>21</v>
      </c>
      <c r="G205" t="s">
        <v>6</v>
      </c>
      <c r="H205" t="str">
        <f>VLOOKUP(C205,Sheet2!A:D,3,0)</f>
        <v>Watch</v>
      </c>
      <c r="I205" t="str">
        <f>VLOOKUP(C205,Sheet2!A:D,4,0)</f>
        <v>Yes</v>
      </c>
      <c r="J205" t="s">
        <v>585</v>
      </c>
    </row>
    <row r="206" spans="1:10">
      <c r="A206" s="2" t="s">
        <v>315</v>
      </c>
      <c r="B206" s="2" t="s">
        <v>173</v>
      </c>
      <c r="C206" s="2" t="s">
        <v>316</v>
      </c>
      <c r="D206" s="2" t="s">
        <v>21</v>
      </c>
      <c r="E206" s="3" t="s">
        <v>14</v>
      </c>
      <c r="F206" s="3" t="s">
        <v>21</v>
      </c>
      <c r="G206" t="s">
        <v>14</v>
      </c>
      <c r="H206" t="str">
        <f>VLOOKUP(C206,Sheet2!A:D,3,0)</f>
        <v>Watch</v>
      </c>
      <c r="I206" t="str">
        <f>VLOOKUP(C206,Sheet2!A:D,4,0)</f>
        <v>No</v>
      </c>
      <c r="J206" t="e">
        <v>#N/A</v>
      </c>
    </row>
    <row r="207" spans="1:10">
      <c r="A207" s="2" t="s">
        <v>325</v>
      </c>
      <c r="B207" s="2" t="s">
        <v>8</v>
      </c>
      <c r="C207" s="2" t="s">
        <v>326</v>
      </c>
      <c r="D207" s="2" t="s">
        <v>21</v>
      </c>
      <c r="E207" s="3" t="s">
        <v>14</v>
      </c>
      <c r="F207" s="3" t="s">
        <v>21</v>
      </c>
      <c r="G207" t="s">
        <v>14</v>
      </c>
      <c r="H207" t="str">
        <f>VLOOKUP(C207,Sheet2!A:D,3,0)</f>
        <v>Watch</v>
      </c>
      <c r="I207" t="str">
        <f>VLOOKUP(C207,Sheet2!A:D,4,0)</f>
        <v>No</v>
      </c>
      <c r="J207" t="e">
        <v>#N/A</v>
      </c>
    </row>
    <row r="208" spans="1:10">
      <c r="A208" s="2" t="s">
        <v>327</v>
      </c>
      <c r="B208" s="2" t="s">
        <v>4</v>
      </c>
      <c r="C208" s="2" t="s">
        <v>121</v>
      </c>
      <c r="D208" s="2" t="s">
        <v>21</v>
      </c>
      <c r="E208" s="3" t="s">
        <v>14</v>
      </c>
      <c r="F208" s="3" t="s">
        <v>21</v>
      </c>
      <c r="G208" t="s">
        <v>14</v>
      </c>
      <c r="H208" t="e">
        <f>VLOOKUP(C208,Sheet2!A:D,3,0)</f>
        <v>#N/A</v>
      </c>
      <c r="I208" t="e">
        <f>VLOOKUP(C208,Sheet2!A:D,4,0)</f>
        <v>#N/A</v>
      </c>
      <c r="J208" t="e">
        <v>#N/A</v>
      </c>
    </row>
    <row r="209" spans="1:10">
      <c r="A209" s="2" t="s">
        <v>328</v>
      </c>
      <c r="B209" s="2" t="s">
        <v>30</v>
      </c>
      <c r="C209" s="2" t="s">
        <v>329</v>
      </c>
      <c r="D209" s="2" t="s">
        <v>21</v>
      </c>
      <c r="E209" s="3" t="s">
        <v>14</v>
      </c>
      <c r="F209" s="3" t="s">
        <v>21</v>
      </c>
      <c r="G209" t="s">
        <v>14</v>
      </c>
      <c r="H209" t="str">
        <f>VLOOKUP(C209,Sheet2!A:D,3,0)</f>
        <v>Watch</v>
      </c>
      <c r="I209" t="str">
        <f>VLOOKUP(C209,Sheet2!A:D,4,0)</f>
        <v>No</v>
      </c>
      <c r="J209" t="e">
        <v>#N/A</v>
      </c>
    </row>
    <row r="210" spans="1:10">
      <c r="A210" s="2" t="s">
        <v>332</v>
      </c>
      <c r="B210" s="2" t="s">
        <v>173</v>
      </c>
      <c r="C210" s="2" t="s">
        <v>331</v>
      </c>
      <c r="D210" s="2" t="s">
        <v>21</v>
      </c>
      <c r="E210" s="3" t="s">
        <v>14</v>
      </c>
      <c r="F210" s="3" t="s">
        <v>579</v>
      </c>
      <c r="G210" t="s">
        <v>14</v>
      </c>
      <c r="H210" t="str">
        <f>VLOOKUP(C210,Sheet2!A:D,3,0)</f>
        <v>Reserve</v>
      </c>
      <c r="I210" t="str">
        <f>VLOOKUP(C210,Sheet2!A:D,4,0)</f>
        <v>No</v>
      </c>
      <c r="J210" t="e">
        <v>#N/A</v>
      </c>
    </row>
    <row r="211" spans="1:10">
      <c r="A211" s="2" t="s">
        <v>333</v>
      </c>
      <c r="B211" s="2" t="s">
        <v>30</v>
      </c>
      <c r="C211" s="2" t="s">
        <v>334</v>
      </c>
      <c r="D211" s="2" t="s">
        <v>21</v>
      </c>
      <c r="E211" s="3" t="s">
        <v>14</v>
      </c>
      <c r="F211" s="3" t="s">
        <v>21</v>
      </c>
      <c r="G211" t="s">
        <v>14</v>
      </c>
      <c r="H211" t="e">
        <f>VLOOKUP(C211,Sheet2!A:D,3,0)</f>
        <v>#N/A</v>
      </c>
      <c r="I211" t="e">
        <f>VLOOKUP(C211,Sheet2!A:D,4,0)</f>
        <v>#N/A</v>
      </c>
      <c r="J211" t="e">
        <v>#N/A</v>
      </c>
    </row>
    <row r="212" spans="1:10">
      <c r="A212" s="2" t="s">
        <v>335</v>
      </c>
      <c r="B212" s="2" t="s">
        <v>179</v>
      </c>
      <c r="C212" s="2" t="s">
        <v>336</v>
      </c>
      <c r="D212" s="2" t="s">
        <v>21</v>
      </c>
      <c r="E212" s="3" t="s">
        <v>14</v>
      </c>
      <c r="F212" s="3" t="s">
        <v>21</v>
      </c>
      <c r="G212" t="s">
        <v>14</v>
      </c>
      <c r="H212" t="str">
        <f>VLOOKUP(C212,Sheet2!A:D,3,0)</f>
        <v>Watch</v>
      </c>
      <c r="I212" t="str">
        <f>VLOOKUP(C212,Sheet2!A:D,4,0)</f>
        <v>No</v>
      </c>
      <c r="J212" t="s">
        <v>585</v>
      </c>
    </row>
    <row r="213" spans="1:10">
      <c r="A213" s="2" t="s">
        <v>339</v>
      </c>
      <c r="B213" s="3" t="s">
        <v>176</v>
      </c>
      <c r="C213" s="3" t="s">
        <v>340</v>
      </c>
      <c r="D213" s="3" t="s">
        <v>21</v>
      </c>
      <c r="E213" s="3" t="s">
        <v>14</v>
      </c>
      <c r="F213" s="3" t="e">
        <v>#N/A</v>
      </c>
      <c r="G213" t="e">
        <v>#N/A</v>
      </c>
      <c r="H213" t="e">
        <f>VLOOKUP(C213,Sheet2!A:D,3,0)</f>
        <v>#N/A</v>
      </c>
      <c r="I213" t="e">
        <f>VLOOKUP(C213,Sheet2!A:D,4,0)</f>
        <v>#N/A</v>
      </c>
      <c r="J213" t="e">
        <v>#N/A</v>
      </c>
    </row>
    <row r="214" spans="1:10">
      <c r="A214" s="2" t="s">
        <v>341</v>
      </c>
      <c r="B214" s="2" t="s">
        <v>176</v>
      </c>
      <c r="C214" s="2" t="s">
        <v>342</v>
      </c>
      <c r="D214" s="2" t="s">
        <v>21</v>
      </c>
      <c r="E214" s="3" t="s">
        <v>14</v>
      </c>
      <c r="F214" s="3" t="s">
        <v>21</v>
      </c>
      <c r="G214" t="s">
        <v>14</v>
      </c>
      <c r="H214" t="e">
        <f>VLOOKUP(C214,Sheet2!A:D,3,0)</f>
        <v>#N/A</v>
      </c>
      <c r="I214" t="e">
        <f>VLOOKUP(C214,Sheet2!A:D,4,0)</f>
        <v>#N/A</v>
      </c>
      <c r="J214" t="e">
        <v>#N/A</v>
      </c>
    </row>
    <row r="215" spans="1:10">
      <c r="A215" s="2" t="s">
        <v>343</v>
      </c>
      <c r="B215" s="2" t="s">
        <v>4</v>
      </c>
      <c r="C215" s="2" t="s">
        <v>344</v>
      </c>
      <c r="D215" s="2" t="s">
        <v>21</v>
      </c>
      <c r="E215" s="3" t="s">
        <v>14</v>
      </c>
      <c r="F215" s="3" t="s">
        <v>21</v>
      </c>
      <c r="G215" t="s">
        <v>14</v>
      </c>
      <c r="H215" t="str">
        <f>VLOOKUP(C215,Sheet2!A:D,3,0)</f>
        <v>Watch</v>
      </c>
      <c r="I215" t="str">
        <f>VLOOKUP(C215,Sheet2!A:D,4,0)</f>
        <v>No</v>
      </c>
      <c r="J215" t="e">
        <v>#N/A</v>
      </c>
    </row>
    <row r="216" spans="1:10">
      <c r="A216" s="2" t="s">
        <v>345</v>
      </c>
      <c r="B216" s="2" t="s">
        <v>4</v>
      </c>
      <c r="C216" s="2" t="s">
        <v>346</v>
      </c>
      <c r="D216" s="2" t="s">
        <v>21</v>
      </c>
      <c r="E216" s="3" t="s">
        <v>14</v>
      </c>
      <c r="F216" s="3" t="s">
        <v>21</v>
      </c>
      <c r="G216" t="s">
        <v>14</v>
      </c>
      <c r="H216" t="e">
        <f>VLOOKUP(C216,Sheet2!A:D,3,0)</f>
        <v>#N/A</v>
      </c>
      <c r="I216" t="e">
        <f>VLOOKUP(C216,Sheet2!A:D,4,0)</f>
        <v>#N/A</v>
      </c>
      <c r="J216" t="e">
        <v>#N/A</v>
      </c>
    </row>
    <row r="217" spans="1:10">
      <c r="A217" s="2" t="s">
        <v>347</v>
      </c>
      <c r="B217" s="2" t="s">
        <v>4</v>
      </c>
      <c r="C217" s="2" t="s">
        <v>348</v>
      </c>
      <c r="D217" s="2" t="s">
        <v>21</v>
      </c>
      <c r="E217" s="3" t="s">
        <v>14</v>
      </c>
      <c r="F217" s="3" t="s">
        <v>21</v>
      </c>
      <c r="G217" t="s">
        <v>14</v>
      </c>
      <c r="H217" t="str">
        <f>VLOOKUP(C217,Sheet2!A:D,3,0)</f>
        <v>Watch</v>
      </c>
      <c r="I217" t="str">
        <f>VLOOKUP(C217,Sheet2!A:D,4,0)</f>
        <v>No</v>
      </c>
      <c r="J217" t="e">
        <v>#N/A</v>
      </c>
    </row>
    <row r="218" spans="1:10">
      <c r="A218" s="2" t="s">
        <v>355</v>
      </c>
      <c r="B218" s="2" t="s">
        <v>179</v>
      </c>
      <c r="C218" s="2" t="s">
        <v>356</v>
      </c>
      <c r="D218" s="2" t="s">
        <v>21</v>
      </c>
      <c r="E218" s="3" t="s">
        <v>14</v>
      </c>
      <c r="F218" s="3" t="s">
        <v>21</v>
      </c>
      <c r="G218" t="s">
        <v>14</v>
      </c>
      <c r="H218" t="str">
        <f>VLOOKUP(C218,Sheet2!A:D,3,0)</f>
        <v>Watch</v>
      </c>
      <c r="I218" t="str">
        <f>VLOOKUP(C218,Sheet2!A:D,4,0)</f>
        <v>No</v>
      </c>
      <c r="J218" t="e">
        <v>#N/A</v>
      </c>
    </row>
    <row r="219" spans="1:10">
      <c r="A219" s="2" t="s">
        <v>357</v>
      </c>
      <c r="B219" s="2" t="s">
        <v>179</v>
      </c>
      <c r="C219" s="2" t="s">
        <v>358</v>
      </c>
      <c r="D219" s="2" t="s">
        <v>21</v>
      </c>
      <c r="E219" s="3" t="s">
        <v>14</v>
      </c>
      <c r="F219" s="3" t="s">
        <v>21</v>
      </c>
      <c r="G219" t="s">
        <v>14</v>
      </c>
      <c r="H219" t="str">
        <f>VLOOKUP(C219,Sheet2!A:D,3,0)</f>
        <v>Watch</v>
      </c>
      <c r="I219" t="str">
        <f>VLOOKUP(C219,Sheet2!A:D,4,0)</f>
        <v>No</v>
      </c>
      <c r="J219" t="s">
        <v>585</v>
      </c>
    </row>
    <row r="220" spans="1:10">
      <c r="A220" s="2" t="s">
        <v>359</v>
      </c>
      <c r="B220" s="2" t="s">
        <v>30</v>
      </c>
      <c r="C220" s="2" t="s">
        <v>360</v>
      </c>
      <c r="D220" s="2" t="s">
        <v>21</v>
      </c>
      <c r="E220" s="3" t="s">
        <v>14</v>
      </c>
      <c r="F220" s="3" t="s">
        <v>21</v>
      </c>
      <c r="G220" t="s">
        <v>14</v>
      </c>
      <c r="H220" t="str">
        <f>VLOOKUP(C220,Sheet2!A:D,3,0)</f>
        <v>Watch</v>
      </c>
      <c r="I220" t="str">
        <f>VLOOKUP(C220,Sheet2!A:D,4,0)</f>
        <v>No</v>
      </c>
      <c r="J220" t="e">
        <v>#N/A</v>
      </c>
    </row>
    <row r="221" spans="1:10">
      <c r="A221" s="2" t="s">
        <v>371</v>
      </c>
      <c r="B221" s="2" t="s">
        <v>176</v>
      </c>
      <c r="C221" s="2" t="s">
        <v>372</v>
      </c>
      <c r="D221" s="2" t="s">
        <v>21</v>
      </c>
      <c r="E221" s="3" t="s">
        <v>14</v>
      </c>
      <c r="F221" s="3" t="s">
        <v>21</v>
      </c>
      <c r="G221" t="s">
        <v>14</v>
      </c>
      <c r="H221" t="e">
        <f>VLOOKUP(C221,Sheet2!A:D,3,0)</f>
        <v>#N/A</v>
      </c>
      <c r="I221" t="e">
        <f>VLOOKUP(C221,Sheet2!A:D,4,0)</f>
        <v>#N/A</v>
      </c>
      <c r="J221" t="e">
        <v>#N/A</v>
      </c>
    </row>
    <row r="222" spans="1:10">
      <c r="A222" s="2" t="s">
        <v>373</v>
      </c>
      <c r="B222" s="2" t="s">
        <v>173</v>
      </c>
      <c r="C222" s="2" t="s">
        <v>374</v>
      </c>
      <c r="D222" s="2" t="s">
        <v>21</v>
      </c>
      <c r="E222" s="3" t="s">
        <v>14</v>
      </c>
      <c r="F222" s="3" t="s">
        <v>21</v>
      </c>
      <c r="G222" t="s">
        <v>14</v>
      </c>
      <c r="H222" t="str">
        <f>VLOOKUP(C222,Sheet2!A:D,3,0)</f>
        <v>Watch</v>
      </c>
      <c r="I222" t="str">
        <f>VLOOKUP(C222,Sheet2!A:D,4,0)</f>
        <v>No</v>
      </c>
      <c r="J222" t="e">
        <v>#N/A</v>
      </c>
    </row>
    <row r="223" spans="1:10">
      <c r="A223" s="2" t="s">
        <v>375</v>
      </c>
      <c r="B223" s="2" t="s">
        <v>52</v>
      </c>
      <c r="C223" s="2" t="s">
        <v>376</v>
      </c>
      <c r="D223" s="2" t="s">
        <v>21</v>
      </c>
      <c r="E223" s="3" t="s">
        <v>14</v>
      </c>
      <c r="F223" s="3" t="s">
        <v>21</v>
      </c>
      <c r="G223" t="s">
        <v>14</v>
      </c>
      <c r="H223" t="e">
        <f>VLOOKUP(C223,Sheet2!A:D,3,0)</f>
        <v>#N/A</v>
      </c>
      <c r="I223" t="e">
        <f>VLOOKUP(C223,Sheet2!A:D,4,0)</f>
        <v>#N/A</v>
      </c>
      <c r="J223" t="e">
        <v>#N/A</v>
      </c>
    </row>
    <row r="224" spans="1:10">
      <c r="A224" s="2" t="s">
        <v>377</v>
      </c>
      <c r="B224" s="3" t="s">
        <v>4</v>
      </c>
      <c r="C224" s="3" t="s">
        <v>378</v>
      </c>
      <c r="D224" s="3" t="s">
        <v>21</v>
      </c>
      <c r="E224" s="3" t="s">
        <v>14</v>
      </c>
      <c r="F224" s="3" t="e">
        <v>#N/A</v>
      </c>
      <c r="G224" t="e">
        <v>#N/A</v>
      </c>
      <c r="H224" t="e">
        <f>VLOOKUP(C224,Sheet2!A:D,3,0)</f>
        <v>#N/A</v>
      </c>
      <c r="I224" t="e">
        <f>VLOOKUP(C224,Sheet2!A:D,4,0)</f>
        <v>#N/A</v>
      </c>
      <c r="J224" t="e">
        <v>#N/A</v>
      </c>
    </row>
    <row r="225" spans="1:10">
      <c r="A225" s="2" t="s">
        <v>379</v>
      </c>
      <c r="B225" s="2" t="s">
        <v>179</v>
      </c>
      <c r="C225" s="2" t="s">
        <v>380</v>
      </c>
      <c r="D225" s="2" t="s">
        <v>21</v>
      </c>
      <c r="E225" s="3" t="s">
        <v>14</v>
      </c>
      <c r="F225" s="3" t="s">
        <v>21</v>
      </c>
      <c r="G225" t="s">
        <v>14</v>
      </c>
      <c r="H225" t="str">
        <f>VLOOKUP(C225,Sheet2!A:D,3,0)</f>
        <v>Watch</v>
      </c>
      <c r="I225" t="str">
        <f>VLOOKUP(C225,Sheet2!A:D,4,0)</f>
        <v>No</v>
      </c>
      <c r="J225" t="e">
        <v>#N/A</v>
      </c>
    </row>
    <row r="226" spans="1:10">
      <c r="A226" s="2" t="s">
        <v>381</v>
      </c>
      <c r="B226" s="2" t="s">
        <v>179</v>
      </c>
      <c r="C226" s="2" t="s">
        <v>382</v>
      </c>
      <c r="D226" s="2" t="s">
        <v>21</v>
      </c>
      <c r="E226" s="3" t="s">
        <v>14</v>
      </c>
      <c r="F226" s="3" t="s">
        <v>21</v>
      </c>
      <c r="G226" t="s">
        <v>14</v>
      </c>
      <c r="H226" t="str">
        <f>VLOOKUP(C226,Sheet2!A:D,3,0)</f>
        <v>Watch</v>
      </c>
      <c r="I226" t="str">
        <f>VLOOKUP(C226,Sheet2!A:D,4,0)</f>
        <v>No</v>
      </c>
      <c r="J226" t="e">
        <v>#N/A</v>
      </c>
    </row>
    <row r="227" spans="1:10">
      <c r="A227" s="2" t="s">
        <v>385</v>
      </c>
      <c r="B227" s="2" t="s">
        <v>173</v>
      </c>
      <c r="C227" s="2" t="s">
        <v>386</v>
      </c>
      <c r="D227" s="2" t="s">
        <v>21</v>
      </c>
      <c r="E227" s="3" t="s">
        <v>14</v>
      </c>
      <c r="F227" s="3" t="s">
        <v>21</v>
      </c>
      <c r="G227" t="s">
        <v>14</v>
      </c>
      <c r="H227" t="e">
        <f>VLOOKUP(C227,Sheet2!A:D,3,0)</f>
        <v>#N/A</v>
      </c>
      <c r="I227" t="e">
        <f>VLOOKUP(C227,Sheet2!A:D,4,0)</f>
        <v>#N/A</v>
      </c>
      <c r="J227" t="e">
        <v>#N/A</v>
      </c>
    </row>
    <row r="228" spans="1:10">
      <c r="A228" s="2" t="s">
        <v>387</v>
      </c>
      <c r="B228" s="2" t="s">
        <v>8</v>
      </c>
      <c r="C228" s="2" t="s">
        <v>388</v>
      </c>
      <c r="D228" s="2" t="s">
        <v>21</v>
      </c>
      <c r="E228" s="3" t="s">
        <v>14</v>
      </c>
      <c r="F228" s="3" t="s">
        <v>21</v>
      </c>
      <c r="G228" t="s">
        <v>14</v>
      </c>
      <c r="H228" t="str">
        <f>VLOOKUP(C228,Sheet2!A:D,3,0)</f>
        <v>Watch</v>
      </c>
      <c r="I228" t="str">
        <f>VLOOKUP(C228,Sheet2!A:D,4,0)</f>
        <v>No</v>
      </c>
      <c r="J228" t="e">
        <v>#N/A</v>
      </c>
    </row>
    <row r="229" spans="1:10">
      <c r="A229" s="2" t="s">
        <v>391</v>
      </c>
      <c r="B229" s="2" t="s">
        <v>176</v>
      </c>
      <c r="C229" s="2" t="s">
        <v>392</v>
      </c>
      <c r="D229" s="2" t="s">
        <v>21</v>
      </c>
      <c r="E229" s="3" t="s">
        <v>14</v>
      </c>
      <c r="F229" s="3" t="s">
        <v>21</v>
      </c>
      <c r="G229" t="s">
        <v>14</v>
      </c>
      <c r="H229" t="e">
        <f>VLOOKUP(C229,Sheet2!A:D,3,0)</f>
        <v>#N/A</v>
      </c>
      <c r="I229" t="e">
        <f>VLOOKUP(C229,Sheet2!A:D,4,0)</f>
        <v>#N/A</v>
      </c>
      <c r="J229" t="e">
        <v>#N/A</v>
      </c>
    </row>
    <row r="230" spans="1:10">
      <c r="A230" s="2" t="s">
        <v>393</v>
      </c>
      <c r="B230" s="2" t="s">
        <v>8</v>
      </c>
      <c r="C230" s="2" t="s">
        <v>394</v>
      </c>
      <c r="D230" s="2" t="s">
        <v>21</v>
      </c>
      <c r="E230" s="3" t="s">
        <v>14</v>
      </c>
      <c r="F230" s="3" t="s">
        <v>21</v>
      </c>
      <c r="G230" t="s">
        <v>14</v>
      </c>
      <c r="H230" t="str">
        <f>VLOOKUP(C230,Sheet2!A:D,3,0)</f>
        <v>Watch</v>
      </c>
      <c r="I230" t="str">
        <f>VLOOKUP(C230,Sheet2!A:D,4,0)</f>
        <v>No</v>
      </c>
      <c r="J230" t="e">
        <v>#N/A</v>
      </c>
    </row>
    <row r="231" spans="1:10">
      <c r="A231" s="2" t="s">
        <v>395</v>
      </c>
      <c r="B231" s="2" t="s">
        <v>396</v>
      </c>
      <c r="C231" s="2" t="s">
        <v>397</v>
      </c>
      <c r="D231" s="2" t="s">
        <v>21</v>
      </c>
      <c r="E231" s="3" t="s">
        <v>6</v>
      </c>
      <c r="F231" s="3" t="s">
        <v>21</v>
      </c>
      <c r="G231" t="s">
        <v>6</v>
      </c>
      <c r="H231" t="str">
        <f>VLOOKUP(C231,Sheet2!A:D,3,0)</f>
        <v>Watch</v>
      </c>
      <c r="I231" t="str">
        <f>VLOOKUP(C231,Sheet2!A:D,4,0)</f>
        <v>Yes</v>
      </c>
      <c r="J231" t="s">
        <v>587</v>
      </c>
    </row>
    <row r="232" spans="1:10">
      <c r="A232" s="2" t="s">
        <v>398</v>
      </c>
      <c r="B232" s="2" t="s">
        <v>176</v>
      </c>
      <c r="C232" s="2" t="s">
        <v>399</v>
      </c>
      <c r="D232" s="2" t="s">
        <v>21</v>
      </c>
      <c r="E232" s="3" t="s">
        <v>14</v>
      </c>
      <c r="F232" s="3" t="s">
        <v>21</v>
      </c>
      <c r="G232" t="s">
        <v>14</v>
      </c>
      <c r="H232" t="e">
        <f>VLOOKUP(C232,Sheet2!A:D,3,0)</f>
        <v>#N/A</v>
      </c>
      <c r="I232" t="e">
        <f>VLOOKUP(C232,Sheet2!A:D,4,0)</f>
        <v>#N/A</v>
      </c>
      <c r="J232" t="e">
        <v>#N/A</v>
      </c>
    </row>
    <row r="233" spans="1:10">
      <c r="A233" s="2" t="s">
        <v>410</v>
      </c>
      <c r="B233" s="2" t="s">
        <v>204</v>
      </c>
      <c r="C233" s="2" t="s">
        <v>411</v>
      </c>
      <c r="D233" s="2" t="s">
        <v>21</v>
      </c>
      <c r="E233" s="3" t="s">
        <v>14</v>
      </c>
      <c r="F233" s="3" t="s">
        <v>21</v>
      </c>
      <c r="G233" t="s">
        <v>14</v>
      </c>
      <c r="H233" t="str">
        <f>VLOOKUP(C233,Sheet2!A:D,3,0)</f>
        <v>Watch</v>
      </c>
      <c r="I233" t="str">
        <f>VLOOKUP(C233,Sheet2!A:D,4,0)</f>
        <v>No</v>
      </c>
      <c r="J233" t="e">
        <v>#N/A</v>
      </c>
    </row>
    <row r="234" spans="1:10">
      <c r="A234" s="2" t="s">
        <v>418</v>
      </c>
      <c r="B234" s="2" t="s">
        <v>179</v>
      </c>
      <c r="C234" s="2" t="s">
        <v>419</v>
      </c>
      <c r="D234" s="2" t="s">
        <v>21</v>
      </c>
      <c r="E234" s="3" t="s">
        <v>14</v>
      </c>
      <c r="F234" s="3" t="s">
        <v>21</v>
      </c>
      <c r="G234" t="s">
        <v>14</v>
      </c>
      <c r="H234" t="str">
        <f>VLOOKUP(C234,Sheet2!A:D,3,0)</f>
        <v>Watch</v>
      </c>
      <c r="I234" t="str">
        <f>VLOOKUP(C234,Sheet2!A:D,4,0)</f>
        <v>No</v>
      </c>
      <c r="J234" t="e">
        <v>#N/A</v>
      </c>
    </row>
    <row r="235" spans="1:10">
      <c r="A235" s="2" t="s">
        <v>420</v>
      </c>
      <c r="B235" s="2" t="s">
        <v>4</v>
      </c>
      <c r="C235" s="2" t="s">
        <v>421</v>
      </c>
      <c r="D235" s="2" t="s">
        <v>21</v>
      </c>
      <c r="E235" s="3" t="s">
        <v>14</v>
      </c>
      <c r="F235" s="3" t="s">
        <v>21</v>
      </c>
      <c r="G235" t="s">
        <v>14</v>
      </c>
      <c r="H235" t="str">
        <f>VLOOKUP(C235,Sheet2!A:D,3,0)</f>
        <v>Watch</v>
      </c>
      <c r="I235" t="str">
        <f>VLOOKUP(C235,Sheet2!A:D,4,0)</f>
        <v>No</v>
      </c>
      <c r="J235" t="e">
        <v>#N/A</v>
      </c>
    </row>
    <row r="236" spans="1:10">
      <c r="A236" s="2" t="s">
        <v>422</v>
      </c>
      <c r="B236" s="2" t="s">
        <v>423</v>
      </c>
      <c r="C236" s="2" t="s">
        <v>424</v>
      </c>
      <c r="D236" s="2" t="s">
        <v>21</v>
      </c>
      <c r="E236" s="3" t="s">
        <v>14</v>
      </c>
      <c r="F236" s="3" t="s">
        <v>21</v>
      </c>
      <c r="G236" t="s">
        <v>14</v>
      </c>
      <c r="H236" t="str">
        <f>VLOOKUP(C236,Sheet2!A:D,3,0)</f>
        <v>Watch</v>
      </c>
      <c r="I236" t="str">
        <f>VLOOKUP(C236,Sheet2!A:D,4,0)</f>
        <v>No</v>
      </c>
      <c r="J236" t="s">
        <v>585</v>
      </c>
    </row>
    <row r="237" spans="1:10">
      <c r="A237" s="2" t="s">
        <v>425</v>
      </c>
      <c r="B237" s="2" t="s">
        <v>423</v>
      </c>
      <c r="C237" s="2" t="s">
        <v>426</v>
      </c>
      <c r="D237" s="2" t="s">
        <v>21</v>
      </c>
      <c r="E237" s="3" t="s">
        <v>14</v>
      </c>
      <c r="F237" s="3" t="s">
        <v>21</v>
      </c>
      <c r="G237" t="s">
        <v>14</v>
      </c>
      <c r="H237" t="str">
        <f>VLOOKUP(C237,Sheet2!A:D,3,0)</f>
        <v>Watch</v>
      </c>
      <c r="I237" t="str">
        <f>VLOOKUP(C237,Sheet2!A:D,4,0)</f>
        <v>No</v>
      </c>
      <c r="J237" t="s">
        <v>585</v>
      </c>
    </row>
    <row r="238" spans="1:10">
      <c r="A238" s="2" t="s">
        <v>427</v>
      </c>
      <c r="B238" s="2" t="s">
        <v>423</v>
      </c>
      <c r="C238" s="2" t="s">
        <v>428</v>
      </c>
      <c r="D238" s="2" t="s">
        <v>21</v>
      </c>
      <c r="E238" s="3" t="s">
        <v>14</v>
      </c>
      <c r="F238" s="3" t="s">
        <v>21</v>
      </c>
      <c r="G238" t="s">
        <v>14</v>
      </c>
      <c r="H238" t="str">
        <f>VLOOKUP(C238,Sheet2!A:D,3,0)</f>
        <v>Watch</v>
      </c>
      <c r="I238" t="str">
        <f>VLOOKUP(C238,Sheet2!A:D,4,0)</f>
        <v>No</v>
      </c>
      <c r="J238" t="e">
        <v>#N/A</v>
      </c>
    </row>
    <row r="239" spans="1:10">
      <c r="A239" s="2" t="s">
        <v>429</v>
      </c>
      <c r="B239" s="2" t="s">
        <v>423</v>
      </c>
      <c r="C239" s="2" t="s">
        <v>430</v>
      </c>
      <c r="D239" s="2" t="s">
        <v>21</v>
      </c>
      <c r="E239" s="3" t="s">
        <v>14</v>
      </c>
      <c r="F239" s="3" t="s">
        <v>21</v>
      </c>
      <c r="G239" t="s">
        <v>14</v>
      </c>
      <c r="H239" t="e">
        <f>VLOOKUP(C239,Sheet2!A:D,3,0)</f>
        <v>#N/A</v>
      </c>
      <c r="I239" t="e">
        <f>VLOOKUP(C239,Sheet2!A:D,4,0)</f>
        <v>#N/A</v>
      </c>
      <c r="J239" t="e">
        <v>#N/A</v>
      </c>
    </row>
    <row r="240" spans="1:10">
      <c r="A240" s="2" t="s">
        <v>431</v>
      </c>
      <c r="B240" s="2" t="s">
        <v>423</v>
      </c>
      <c r="C240" s="2" t="s">
        <v>432</v>
      </c>
      <c r="D240" s="2" t="s">
        <v>21</v>
      </c>
      <c r="E240" s="3" t="s">
        <v>14</v>
      </c>
      <c r="F240" s="3" t="s">
        <v>21</v>
      </c>
      <c r="G240" t="s">
        <v>14</v>
      </c>
      <c r="H240" t="str">
        <f>VLOOKUP(C240,Sheet2!A:D,3,0)</f>
        <v>Watch</v>
      </c>
      <c r="I240" t="str">
        <f>VLOOKUP(C240,Sheet2!A:D,4,0)</f>
        <v>No</v>
      </c>
      <c r="J240" t="e">
        <v>#N/A</v>
      </c>
    </row>
    <row r="241" spans="1:10">
      <c r="A241" s="2" t="s">
        <v>433</v>
      </c>
      <c r="B241" s="2" t="s">
        <v>30</v>
      </c>
      <c r="C241" s="2" t="s">
        <v>434</v>
      </c>
      <c r="D241" s="2" t="s">
        <v>21</v>
      </c>
      <c r="E241" s="3" t="s">
        <v>14</v>
      </c>
      <c r="F241" s="3" t="s">
        <v>21</v>
      </c>
      <c r="G241" t="s">
        <v>14</v>
      </c>
      <c r="H241" t="e">
        <f>VLOOKUP(C241,Sheet2!A:D,3,0)</f>
        <v>#N/A</v>
      </c>
      <c r="I241" t="e">
        <f>VLOOKUP(C241,Sheet2!A:D,4,0)</f>
        <v>#N/A</v>
      </c>
      <c r="J241" t="e">
        <v>#N/A</v>
      </c>
    </row>
    <row r="242" spans="1:10">
      <c r="A242" s="2" t="s">
        <v>435</v>
      </c>
      <c r="B242" s="2" t="s">
        <v>173</v>
      </c>
      <c r="C242" s="2" t="s">
        <v>436</v>
      </c>
      <c r="D242" s="2" t="s">
        <v>21</v>
      </c>
      <c r="E242" s="3" t="s">
        <v>14</v>
      </c>
      <c r="F242" s="3" t="s">
        <v>21</v>
      </c>
      <c r="G242" t="s">
        <v>14</v>
      </c>
      <c r="H242" t="e">
        <f>VLOOKUP(C242,Sheet2!A:D,3,0)</f>
        <v>#N/A</v>
      </c>
      <c r="I242" t="e">
        <f>VLOOKUP(C242,Sheet2!A:D,4,0)</f>
        <v>#N/A</v>
      </c>
      <c r="J242" t="e">
        <v>#N/A</v>
      </c>
    </row>
    <row r="243" spans="1:10">
      <c r="A243" s="2" t="s">
        <v>437</v>
      </c>
      <c r="B243" s="2" t="s">
        <v>176</v>
      </c>
      <c r="C243" s="2" t="s">
        <v>438</v>
      </c>
      <c r="D243" s="2" t="s">
        <v>21</v>
      </c>
      <c r="E243" s="3" t="s">
        <v>14</v>
      </c>
      <c r="F243" s="3" t="s">
        <v>21</v>
      </c>
      <c r="G243" t="s">
        <v>14</v>
      </c>
      <c r="H243" t="e">
        <f>VLOOKUP(C243,Sheet2!A:D,3,0)</f>
        <v>#N/A</v>
      </c>
      <c r="I243" t="e">
        <f>VLOOKUP(C243,Sheet2!A:D,4,0)</f>
        <v>#N/A</v>
      </c>
      <c r="J243" t="e">
        <v>#N/A</v>
      </c>
    </row>
    <row r="244" spans="1:10">
      <c r="A244" s="2" t="s">
        <v>439</v>
      </c>
      <c r="B244" s="2" t="s">
        <v>30</v>
      </c>
      <c r="C244" s="2" t="s">
        <v>440</v>
      </c>
      <c r="D244" s="2" t="s">
        <v>21</v>
      </c>
      <c r="E244" s="3" t="s">
        <v>14</v>
      </c>
      <c r="F244" s="3" t="s">
        <v>21</v>
      </c>
      <c r="G244" t="s">
        <v>14</v>
      </c>
      <c r="H244" t="str">
        <f>VLOOKUP(C244,Sheet2!A:D,3,0)</f>
        <v>Watch</v>
      </c>
      <c r="I244" t="str">
        <f>VLOOKUP(C244,Sheet2!A:D,4,0)</f>
        <v>No</v>
      </c>
      <c r="J244" t="e">
        <v>#N/A</v>
      </c>
    </row>
    <row r="245" spans="1:10">
      <c r="A245" s="2" t="s">
        <v>441</v>
      </c>
      <c r="B245" s="2" t="s">
        <v>179</v>
      </c>
      <c r="C245" s="2" t="s">
        <v>442</v>
      </c>
      <c r="D245" s="2" t="s">
        <v>21</v>
      </c>
      <c r="E245" s="3" t="s">
        <v>14</v>
      </c>
      <c r="F245" s="3" t="s">
        <v>21</v>
      </c>
      <c r="G245" t="s">
        <v>14</v>
      </c>
      <c r="H245" t="str">
        <f>VLOOKUP(C245,Sheet2!A:D,3,0)</f>
        <v>Watch</v>
      </c>
      <c r="I245" t="str">
        <f>VLOOKUP(C245,Sheet2!A:D,4,0)</f>
        <v>No</v>
      </c>
      <c r="J245" t="e">
        <v>#N/A</v>
      </c>
    </row>
    <row r="246" spans="1:10">
      <c r="A246" s="2" t="s">
        <v>443</v>
      </c>
      <c r="B246" s="2" t="s">
        <v>173</v>
      </c>
      <c r="C246" s="2" t="s">
        <v>444</v>
      </c>
      <c r="D246" s="2" t="s">
        <v>21</v>
      </c>
      <c r="E246" s="3" t="s">
        <v>14</v>
      </c>
      <c r="F246" s="3" t="s">
        <v>21</v>
      </c>
      <c r="G246" t="s">
        <v>14</v>
      </c>
      <c r="H246" t="e">
        <f>VLOOKUP(C246,Sheet2!A:D,3,0)</f>
        <v>#N/A</v>
      </c>
      <c r="I246" t="e">
        <f>VLOOKUP(C246,Sheet2!A:D,4,0)</f>
        <v>#N/A</v>
      </c>
      <c r="J246" t="e">
        <v>#N/A</v>
      </c>
    </row>
    <row r="247" spans="1:10">
      <c r="A247" s="2" t="s">
        <v>449</v>
      </c>
      <c r="B247" s="2" t="s">
        <v>4</v>
      </c>
      <c r="C247" s="2" t="s">
        <v>450</v>
      </c>
      <c r="D247" s="2" t="s">
        <v>21</v>
      </c>
      <c r="E247" s="3" t="s">
        <v>14</v>
      </c>
      <c r="F247" s="3" t="s">
        <v>21</v>
      </c>
      <c r="G247" t="s">
        <v>14</v>
      </c>
      <c r="H247" t="str">
        <f>VLOOKUP(C247,Sheet2!A:D,3,0)</f>
        <v>Watch</v>
      </c>
      <c r="I247" t="str">
        <f>VLOOKUP(C247,Sheet2!A:D,4,0)</f>
        <v>No</v>
      </c>
      <c r="J247" t="e">
        <v>#N/A</v>
      </c>
    </row>
    <row r="248" spans="1:10">
      <c r="A248" s="2" t="s">
        <v>451</v>
      </c>
      <c r="B248" s="2" t="s">
        <v>179</v>
      </c>
      <c r="C248" s="2" t="s">
        <v>452</v>
      </c>
      <c r="D248" s="2" t="s">
        <v>21</v>
      </c>
      <c r="E248" s="3" t="s">
        <v>14</v>
      </c>
      <c r="F248" s="3" t="s">
        <v>21</v>
      </c>
      <c r="G248" t="s">
        <v>14</v>
      </c>
      <c r="H248" t="str">
        <f>VLOOKUP(C248,Sheet2!A:D,3,0)</f>
        <v>Watch</v>
      </c>
      <c r="I248" t="str">
        <f>VLOOKUP(C248,Sheet2!A:D,4,0)</f>
        <v>No</v>
      </c>
      <c r="J248" t="e">
        <v>#N/A</v>
      </c>
    </row>
    <row r="249" spans="1:10">
      <c r="A249" s="2" t="s">
        <v>453</v>
      </c>
      <c r="B249" s="2" t="s">
        <v>30</v>
      </c>
      <c r="C249" s="2" t="s">
        <v>454</v>
      </c>
      <c r="D249" s="2" t="s">
        <v>21</v>
      </c>
      <c r="E249" s="3" t="s">
        <v>14</v>
      </c>
      <c r="F249" s="3" t="s">
        <v>21</v>
      </c>
      <c r="G249" t="s">
        <v>14</v>
      </c>
      <c r="H249" t="e">
        <f>VLOOKUP(C249,Sheet2!A:D,3,0)</f>
        <v>#N/A</v>
      </c>
      <c r="I249" t="e">
        <f>VLOOKUP(C249,Sheet2!A:D,4,0)</f>
        <v>#N/A</v>
      </c>
      <c r="J249" t="e">
        <v>#N/A</v>
      </c>
    </row>
    <row r="250" spans="1:10">
      <c r="A250" s="2" t="s">
        <v>455</v>
      </c>
      <c r="B250" s="2" t="s">
        <v>179</v>
      </c>
      <c r="C250" s="2" t="s">
        <v>456</v>
      </c>
      <c r="D250" s="2" t="s">
        <v>21</v>
      </c>
      <c r="E250" s="3" t="s">
        <v>14</v>
      </c>
      <c r="F250" s="3" t="s">
        <v>21</v>
      </c>
      <c r="G250" t="s">
        <v>14</v>
      </c>
      <c r="H250" t="str">
        <f>VLOOKUP(C250,Sheet2!A:D,3,0)</f>
        <v>Watch</v>
      </c>
      <c r="I250" t="str">
        <f>VLOOKUP(C250,Sheet2!A:D,4,0)</f>
        <v>No</v>
      </c>
      <c r="J250" t="e">
        <v>#N/A</v>
      </c>
    </row>
    <row r="251" spans="1:10">
      <c r="A251" s="2" t="s">
        <v>460</v>
      </c>
      <c r="B251" s="2" t="s">
        <v>30</v>
      </c>
      <c r="C251" s="2" t="s">
        <v>461</v>
      </c>
      <c r="D251" s="2" t="s">
        <v>21</v>
      </c>
      <c r="E251" s="3" t="s">
        <v>14</v>
      </c>
      <c r="F251" s="3" t="s">
        <v>21</v>
      </c>
      <c r="G251" t="s">
        <v>14</v>
      </c>
      <c r="H251" t="str">
        <f>VLOOKUP(C251,Sheet2!A:D,3,0)</f>
        <v>Watch</v>
      </c>
      <c r="I251" t="str">
        <f>VLOOKUP(C251,Sheet2!A:D,4,0)</f>
        <v>No</v>
      </c>
      <c r="J251" t="e">
        <v>#N/A</v>
      </c>
    </row>
    <row r="252" spans="1:10">
      <c r="A252" s="2" t="s">
        <v>462</v>
      </c>
      <c r="B252" s="2" t="s">
        <v>4</v>
      </c>
      <c r="C252" s="2" t="s">
        <v>463</v>
      </c>
      <c r="D252" s="2" t="s">
        <v>21</v>
      </c>
      <c r="E252" s="3" t="s">
        <v>14</v>
      </c>
      <c r="F252" s="3" t="s">
        <v>21</v>
      </c>
      <c r="G252" t="s">
        <v>14</v>
      </c>
      <c r="H252" t="e">
        <f>VLOOKUP(C252,Sheet2!A:D,3,0)</f>
        <v>#N/A</v>
      </c>
      <c r="I252" t="e">
        <f>VLOOKUP(C252,Sheet2!A:D,4,0)</f>
        <v>#N/A</v>
      </c>
      <c r="J252" t="e">
        <v>#N/A</v>
      </c>
    </row>
    <row r="253" spans="1:10">
      <c r="A253" s="2" t="s">
        <v>464</v>
      </c>
      <c r="B253" s="2" t="s">
        <v>4</v>
      </c>
      <c r="C253" s="2" t="s">
        <v>465</v>
      </c>
      <c r="D253" s="2" t="s">
        <v>21</v>
      </c>
      <c r="E253" s="3" t="s">
        <v>14</v>
      </c>
      <c r="F253" s="3" t="s">
        <v>21</v>
      </c>
      <c r="G253" t="s">
        <v>14</v>
      </c>
      <c r="H253" t="str">
        <f>VLOOKUP(C253,Sheet2!A:D,3,0)</f>
        <v>Watch</v>
      </c>
      <c r="I253" t="str">
        <f>VLOOKUP(C253,Sheet2!A:D,4,0)</f>
        <v>No</v>
      </c>
      <c r="J253" t="s">
        <v>585</v>
      </c>
    </row>
    <row r="254" spans="1:10">
      <c r="A254" s="2" t="s">
        <v>466</v>
      </c>
      <c r="B254" s="2" t="s">
        <v>4</v>
      </c>
      <c r="C254" s="2" t="s">
        <v>467</v>
      </c>
      <c r="D254" s="2" t="s">
        <v>21</v>
      </c>
      <c r="E254" s="3" t="s">
        <v>14</v>
      </c>
      <c r="F254" s="3" t="s">
        <v>21</v>
      </c>
      <c r="G254" t="s">
        <v>14</v>
      </c>
      <c r="H254" t="e">
        <f>VLOOKUP(C254,Sheet2!A:D,3,0)</f>
        <v>#N/A</v>
      </c>
      <c r="I254" t="e">
        <f>VLOOKUP(C254,Sheet2!A:D,4,0)</f>
        <v>#N/A</v>
      </c>
      <c r="J254" t="e">
        <v>#N/A</v>
      </c>
    </row>
    <row r="255" spans="1:10">
      <c r="A255" s="2" t="s">
        <v>471</v>
      </c>
      <c r="B255" s="2" t="s">
        <v>8</v>
      </c>
      <c r="C255" s="2" t="s">
        <v>472</v>
      </c>
      <c r="D255" s="2" t="s">
        <v>21</v>
      </c>
      <c r="E255" s="3" t="s">
        <v>14</v>
      </c>
      <c r="F255" s="3" t="s">
        <v>21</v>
      </c>
      <c r="G255" t="s">
        <v>14</v>
      </c>
      <c r="H255" t="str">
        <f>VLOOKUP(C255,Sheet2!A:D,3,0)</f>
        <v>Watch</v>
      </c>
      <c r="I255" t="str">
        <f>VLOOKUP(C255,Sheet2!A:D,4,0)</f>
        <v>No</v>
      </c>
      <c r="J255" t="e">
        <v>#N/A</v>
      </c>
    </row>
    <row r="256" spans="1:10">
      <c r="A256" s="2" t="s">
        <v>533</v>
      </c>
      <c r="B256" s="2" t="s">
        <v>469</v>
      </c>
      <c r="C256" s="2" t="s">
        <v>534</v>
      </c>
      <c r="D256" s="2" t="s">
        <v>21</v>
      </c>
      <c r="E256" s="3" t="s">
        <v>14</v>
      </c>
      <c r="F256" s="3" t="s">
        <v>21</v>
      </c>
      <c r="G256" t="s">
        <v>14</v>
      </c>
      <c r="H256" t="e">
        <f>VLOOKUP(C256,Sheet2!A:D,3,0)</f>
        <v>#N/A</v>
      </c>
      <c r="I256" t="e">
        <f>VLOOKUP(C256,Sheet2!A:D,4,0)</f>
        <v>#N/A</v>
      </c>
      <c r="J256" t="e">
        <v>#N/A</v>
      </c>
    </row>
    <row r="257" spans="1:10">
      <c r="A257" s="2" t="s">
        <v>535</v>
      </c>
      <c r="B257" s="2" t="s">
        <v>52</v>
      </c>
      <c r="C257" s="2" t="s">
        <v>536</v>
      </c>
      <c r="D257" s="2" t="s">
        <v>21</v>
      </c>
      <c r="E257" s="3" t="s">
        <v>14</v>
      </c>
      <c r="F257" s="3" t="s">
        <v>21</v>
      </c>
      <c r="G257" t="s">
        <v>14</v>
      </c>
      <c r="H257" t="str">
        <f>VLOOKUP(C257,Sheet2!A:D,3,0)</f>
        <v>Watch</v>
      </c>
      <c r="I257" t="str">
        <f>VLOOKUP(C257,Sheet2!A:D,4,0)</f>
        <v>No</v>
      </c>
      <c r="J257" t="e">
        <v>#N/A</v>
      </c>
    </row>
    <row r="258" spans="1:10">
      <c r="A258" s="2" t="s">
        <v>539</v>
      </c>
      <c r="B258" s="2" t="s">
        <v>201</v>
      </c>
      <c r="C258" s="2" t="s">
        <v>540</v>
      </c>
      <c r="D258" s="2" t="s">
        <v>21</v>
      </c>
      <c r="E258" s="3" t="s">
        <v>14</v>
      </c>
      <c r="F258" s="3" t="s">
        <v>21</v>
      </c>
      <c r="G258" t="s">
        <v>14</v>
      </c>
      <c r="H258" t="str">
        <f>VLOOKUP(C258,Sheet2!A:D,3,0)</f>
        <v>Watch</v>
      </c>
      <c r="I258" t="str">
        <f>VLOOKUP(C258,Sheet2!A:D,4,0)</f>
        <v>No</v>
      </c>
      <c r="J258" t="e">
        <v>#N/A</v>
      </c>
    </row>
    <row r="259" spans="1:10">
      <c r="A259" s="2" t="s">
        <v>543</v>
      </c>
      <c r="B259" s="2" t="s">
        <v>30</v>
      </c>
      <c r="C259" s="2" t="s">
        <v>544</v>
      </c>
      <c r="D259" s="2" t="s">
        <v>21</v>
      </c>
      <c r="E259" s="3" t="s">
        <v>14</v>
      </c>
      <c r="F259" s="3" t="s">
        <v>21</v>
      </c>
      <c r="G259" t="s">
        <v>14</v>
      </c>
      <c r="H259" t="str">
        <f>VLOOKUP(C259,Sheet2!A:D,3,0)</f>
        <v>Watch</v>
      </c>
      <c r="I259" t="str">
        <f>VLOOKUP(C259,Sheet2!A:D,4,0)</f>
        <v>No</v>
      </c>
      <c r="J259" t="e">
        <v>#N/A</v>
      </c>
    </row>
    <row r="260" spans="1:10">
      <c r="A260" s="2" t="s">
        <v>545</v>
      </c>
      <c r="B260" s="2" t="s">
        <v>179</v>
      </c>
      <c r="C260" s="2" t="s">
        <v>546</v>
      </c>
      <c r="D260" s="2" t="s">
        <v>21</v>
      </c>
      <c r="E260" s="3" t="s">
        <v>14</v>
      </c>
      <c r="F260" s="3" t="s">
        <v>21</v>
      </c>
      <c r="G260" t="s">
        <v>14</v>
      </c>
      <c r="H260" t="e">
        <f>VLOOKUP(C260,Sheet2!A:D,3,0)</f>
        <v>#N/A</v>
      </c>
      <c r="I260" t="e">
        <f>VLOOKUP(C260,Sheet2!A:D,4,0)</f>
        <v>#N/A</v>
      </c>
      <c r="J260" t="e">
        <v>#N/A</v>
      </c>
    </row>
    <row r="261" spans="1:10">
      <c r="A261" s="2" t="s">
        <v>547</v>
      </c>
      <c r="B261" s="2" t="s">
        <v>8</v>
      </c>
      <c r="C261" s="2" t="s">
        <v>548</v>
      </c>
      <c r="D261" s="2" t="s">
        <v>21</v>
      </c>
      <c r="E261" s="3" t="s">
        <v>14</v>
      </c>
      <c r="F261" s="3" t="s">
        <v>21</v>
      </c>
      <c r="G261" t="s">
        <v>14</v>
      </c>
      <c r="H261" t="str">
        <f>VLOOKUP(C261,Sheet2!A:D,3,0)</f>
        <v>Watch</v>
      </c>
      <c r="I261" t="str">
        <f>VLOOKUP(C261,Sheet2!A:D,4,0)</f>
        <v>No</v>
      </c>
      <c r="J261" t="e">
        <v>#N/A</v>
      </c>
    </row>
    <row r="262" spans="1:10">
      <c r="A262" s="2" t="s">
        <v>553</v>
      </c>
      <c r="B262" s="2" t="s">
        <v>8</v>
      </c>
      <c r="C262" s="2" t="s">
        <v>554</v>
      </c>
      <c r="D262" s="2" t="s">
        <v>21</v>
      </c>
      <c r="E262" s="3" t="s">
        <v>14</v>
      </c>
      <c r="F262" s="3" t="s">
        <v>21</v>
      </c>
      <c r="G262" t="s">
        <v>14</v>
      </c>
      <c r="H262" t="str">
        <f>VLOOKUP(C262,Sheet2!A:D,3,0)</f>
        <v>Watch</v>
      </c>
      <c r="I262" t="str">
        <f>VLOOKUP(C262,Sheet2!A:D,4,0)</f>
        <v>No</v>
      </c>
      <c r="J262" t="e">
        <v>#N/A</v>
      </c>
    </row>
    <row r="263" spans="1:10">
      <c r="A263" s="2" t="s">
        <v>555</v>
      </c>
      <c r="B263" s="3" t="s">
        <v>11</v>
      </c>
      <c r="C263" s="3" t="s">
        <v>582</v>
      </c>
      <c r="D263" s="3" t="s">
        <v>21</v>
      </c>
      <c r="E263" s="3" t="s">
        <v>14</v>
      </c>
      <c r="F263" s="3" t="e">
        <v>#N/A</v>
      </c>
      <c r="G263" t="e">
        <v>#N/A</v>
      </c>
      <c r="H263" t="e">
        <f>VLOOKUP(C263,Sheet2!A:D,3,0)</f>
        <v>#N/A</v>
      </c>
      <c r="I263" t="e">
        <f>VLOOKUP(C263,Sheet2!A:D,4,0)</f>
        <v>#N/A</v>
      </c>
      <c r="J263" t="e">
        <v>#N/A</v>
      </c>
    </row>
    <row r="264" spans="1:10">
      <c r="A264" s="2" t="s">
        <v>563</v>
      </c>
      <c r="B264" s="2" t="s">
        <v>4</v>
      </c>
      <c r="C264" s="2" t="s">
        <v>564</v>
      </c>
      <c r="D264" s="2" t="s">
        <v>21</v>
      </c>
      <c r="E264" s="3" t="s">
        <v>14</v>
      </c>
      <c r="F264" s="3" t="s">
        <v>21</v>
      </c>
      <c r="G264" t="s">
        <v>14</v>
      </c>
      <c r="H264" t="str">
        <f>VLOOKUP(C264,Sheet2!A:D,3,0)</f>
        <v>Watch</v>
      </c>
      <c r="I264" t="str">
        <f>VLOOKUP(C264,Sheet2!A:D,4,0)</f>
        <v>No</v>
      </c>
      <c r="J264" t="e">
        <v>#N/A</v>
      </c>
    </row>
    <row r="265" spans="1:10">
      <c r="A265" s="2" t="s">
        <v>565</v>
      </c>
      <c r="B265" s="2" t="s">
        <v>179</v>
      </c>
      <c r="C265" s="2" t="s">
        <v>566</v>
      </c>
      <c r="D265" s="2" t="s">
        <v>21</v>
      </c>
      <c r="E265" s="3" t="s">
        <v>14</v>
      </c>
      <c r="F265" s="3" t="s">
        <v>21</v>
      </c>
      <c r="G265" t="s">
        <v>14</v>
      </c>
      <c r="H265" t="str">
        <f>VLOOKUP(C265,Sheet2!A:D,3,0)</f>
        <v>Watch</v>
      </c>
      <c r="I265" t="str">
        <f>VLOOKUP(C265,Sheet2!A:D,4,0)</f>
        <v>No</v>
      </c>
      <c r="J265" t="e">
        <v>#N/A</v>
      </c>
    </row>
    <row r="266" spans="1:10">
      <c r="A266" s="2" t="s">
        <v>569</v>
      </c>
      <c r="B266" s="2" t="s">
        <v>30</v>
      </c>
      <c r="C266" s="2" t="s">
        <v>570</v>
      </c>
      <c r="D266" s="2" t="s">
        <v>21</v>
      </c>
      <c r="E266" s="3" t="s">
        <v>14</v>
      </c>
      <c r="F266" s="3" t="s">
        <v>21</v>
      </c>
      <c r="G266" t="s">
        <v>14</v>
      </c>
      <c r="H266" t="e">
        <f>VLOOKUP(C266,Sheet2!A:D,3,0)</f>
        <v>#N/A</v>
      </c>
      <c r="I266" t="e">
        <f>VLOOKUP(C266,Sheet2!A:D,4,0)</f>
        <v>#N/A</v>
      </c>
      <c r="J266" t="e">
        <v>#N/A</v>
      </c>
    </row>
    <row r="267" spans="1:10">
      <c r="A267" s="2" t="s">
        <v>571</v>
      </c>
      <c r="B267" s="2" t="s">
        <v>179</v>
      </c>
      <c r="C267" s="2" t="s">
        <v>572</v>
      </c>
      <c r="D267" s="2" t="s">
        <v>21</v>
      </c>
      <c r="E267" s="3" t="s">
        <v>14</v>
      </c>
      <c r="F267" s="3" t="s">
        <v>21</v>
      </c>
      <c r="G267" t="s">
        <v>14</v>
      </c>
      <c r="H267" t="e">
        <f>VLOOKUP(C267,Sheet2!A:D,3,0)</f>
        <v>#N/A</v>
      </c>
      <c r="I267" t="e">
        <f>VLOOKUP(C267,Sheet2!A:D,4,0)</f>
        <v>#N/A</v>
      </c>
      <c r="J267" t="e">
        <v>#N/A</v>
      </c>
    </row>
    <row r="268" spans="1:10">
      <c r="A268" s="2" t="s">
        <v>573</v>
      </c>
      <c r="B268" s="2" t="s">
        <v>201</v>
      </c>
      <c r="C268" s="2" t="s">
        <v>574</v>
      </c>
      <c r="D268" s="2" t="s">
        <v>21</v>
      </c>
      <c r="E268" s="3" t="s">
        <v>6</v>
      </c>
      <c r="F268" s="3" t="s">
        <v>21</v>
      </c>
      <c r="G268" t="s">
        <v>6</v>
      </c>
      <c r="H268" t="str">
        <f>VLOOKUP(C268,Sheet2!A:D,3,0)</f>
        <v xml:space="preserve">Watch </v>
      </c>
      <c r="I268" t="str">
        <f>VLOOKUP(C268,Sheet2!A:D,4,0)</f>
        <v>Yes</v>
      </c>
      <c r="J268" t="s">
        <v>587</v>
      </c>
    </row>
    <row r="269" spans="1:10">
      <c r="A269" s="2" t="s">
        <v>575</v>
      </c>
      <c r="B269" s="2" t="s">
        <v>201</v>
      </c>
      <c r="C269" s="2" t="s">
        <v>576</v>
      </c>
      <c r="D269" s="2" t="s">
        <v>21</v>
      </c>
      <c r="E269" s="3" t="s">
        <v>6</v>
      </c>
      <c r="F269" s="3" t="s">
        <v>21</v>
      </c>
      <c r="G269" t="s">
        <v>6</v>
      </c>
      <c r="H269" t="str">
        <f>VLOOKUP(C269,Sheet2!A:D,3,0)</f>
        <v xml:space="preserve">Watch </v>
      </c>
      <c r="I269" t="str">
        <f>VLOOKUP(C269,Sheet2!A:D,4,0)</f>
        <v>Yes</v>
      </c>
      <c r="J269" t="s">
        <v>587</v>
      </c>
    </row>
  </sheetData>
  <autoFilter ref="A1:J269" xr:uid="{01B4EF34-B812-F449-B6D3-408FB8983246}"/>
  <sortState xmlns:xlrd2="http://schemas.microsoft.com/office/spreadsheetml/2017/richdata2" ref="A2:E269">
    <sortCondition ref="D2:D269"/>
    <sortCondition ref="A2:A269"/>
    <sortCondition ref="B2:B269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7811-9C3C-904C-85FE-7C6BE57BAFB4}">
  <dimension ref="A1:D181"/>
  <sheetViews>
    <sheetView topLeftCell="A156" workbookViewId="0">
      <selection activeCell="B173" sqref="B173"/>
    </sheetView>
  </sheetViews>
  <sheetFormatPr baseColWidth="10" defaultRowHeight="16"/>
  <sheetData>
    <row r="1" spans="1:4">
      <c r="A1" s="4" t="s">
        <v>2</v>
      </c>
      <c r="B1" s="4" t="s">
        <v>0</v>
      </c>
      <c r="C1" s="4" t="s">
        <v>593</v>
      </c>
      <c r="D1" s="4" t="s">
        <v>594</v>
      </c>
    </row>
    <row r="2" spans="1:4">
      <c r="A2" s="7" t="s">
        <v>595</v>
      </c>
      <c r="B2" s="7" t="s">
        <v>3</v>
      </c>
      <c r="C2" s="7" t="s">
        <v>5</v>
      </c>
      <c r="D2" s="8" t="s">
        <v>6</v>
      </c>
    </row>
    <row r="3" spans="1:4">
      <c r="A3" s="7" t="s">
        <v>9</v>
      </c>
      <c r="B3" s="7" t="s">
        <v>7</v>
      </c>
      <c r="C3" s="7" t="s">
        <v>5</v>
      </c>
      <c r="D3" s="8" t="s">
        <v>6</v>
      </c>
    </row>
    <row r="4" spans="1:4">
      <c r="A4" s="7" t="s">
        <v>12</v>
      </c>
      <c r="B4" s="7" t="s">
        <v>599</v>
      </c>
      <c r="C4" s="7" t="s">
        <v>5</v>
      </c>
      <c r="D4" s="8" t="s">
        <v>6</v>
      </c>
    </row>
    <row r="5" spans="1:4">
      <c r="A5" s="7" t="s">
        <v>16</v>
      </c>
      <c r="B5" s="7" t="s">
        <v>15</v>
      </c>
      <c r="C5" s="7" t="s">
        <v>5</v>
      </c>
      <c r="D5" s="8" t="s">
        <v>6</v>
      </c>
    </row>
    <row r="6" spans="1:4">
      <c r="A6" s="7" t="s">
        <v>18</v>
      </c>
      <c r="B6" s="7" t="s">
        <v>17</v>
      </c>
      <c r="C6" s="7" t="s">
        <v>5</v>
      </c>
      <c r="D6" s="8" t="s">
        <v>14</v>
      </c>
    </row>
    <row r="7" spans="1:4">
      <c r="A7" s="9" t="s">
        <v>20</v>
      </c>
      <c r="B7" s="9" t="s">
        <v>19</v>
      </c>
      <c r="C7" s="9" t="s">
        <v>21</v>
      </c>
      <c r="D7" s="8" t="s">
        <v>14</v>
      </c>
    </row>
    <row r="8" spans="1:4">
      <c r="A8" s="9" t="s">
        <v>31</v>
      </c>
      <c r="B8" s="9" t="s">
        <v>29</v>
      </c>
      <c r="C8" s="9" t="s">
        <v>21</v>
      </c>
      <c r="D8" s="8" t="s">
        <v>6</v>
      </c>
    </row>
    <row r="9" spans="1:4">
      <c r="A9" s="9" t="s">
        <v>33</v>
      </c>
      <c r="B9" s="9" t="s">
        <v>32</v>
      </c>
      <c r="C9" s="9" t="s">
        <v>21</v>
      </c>
      <c r="D9" s="8" t="s">
        <v>14</v>
      </c>
    </row>
    <row r="10" spans="1:4">
      <c r="A10" s="10" t="s">
        <v>36</v>
      </c>
      <c r="B10" s="10" t="s">
        <v>34</v>
      </c>
      <c r="C10" s="10" t="s">
        <v>37</v>
      </c>
      <c r="D10" s="8" t="s">
        <v>14</v>
      </c>
    </row>
    <row r="11" spans="1:4">
      <c r="A11" s="7" t="s">
        <v>42</v>
      </c>
      <c r="B11" s="7" t="s">
        <v>41</v>
      </c>
      <c r="C11" s="7" t="s">
        <v>5</v>
      </c>
      <c r="D11" s="8" t="s">
        <v>14</v>
      </c>
    </row>
    <row r="12" spans="1:4">
      <c r="A12" s="7" t="s">
        <v>46</v>
      </c>
      <c r="B12" s="7" t="s">
        <v>600</v>
      </c>
      <c r="C12" s="7" t="s">
        <v>5</v>
      </c>
      <c r="D12" s="8" t="s">
        <v>6</v>
      </c>
    </row>
    <row r="13" spans="1:4">
      <c r="A13" s="7" t="s">
        <v>50</v>
      </c>
      <c r="B13" s="7" t="s">
        <v>49</v>
      </c>
      <c r="C13" s="7" t="s">
        <v>5</v>
      </c>
      <c r="D13" s="8" t="s">
        <v>6</v>
      </c>
    </row>
    <row r="14" spans="1:4">
      <c r="A14" s="9" t="s">
        <v>53</v>
      </c>
      <c r="B14" s="9" t="s">
        <v>51</v>
      </c>
      <c r="C14" s="9" t="s">
        <v>21</v>
      </c>
      <c r="D14" s="8" t="s">
        <v>14</v>
      </c>
    </row>
    <row r="15" spans="1:4">
      <c r="A15" s="9" t="s">
        <v>58</v>
      </c>
      <c r="B15" s="9" t="s">
        <v>57</v>
      </c>
      <c r="C15" s="9" t="s">
        <v>21</v>
      </c>
      <c r="D15" s="8" t="s">
        <v>14</v>
      </c>
    </row>
    <row r="16" spans="1:4">
      <c r="A16" s="7" t="s">
        <v>65</v>
      </c>
      <c r="B16" s="7" t="s">
        <v>63</v>
      </c>
      <c r="C16" s="7" t="s">
        <v>5</v>
      </c>
      <c r="D16" s="8" t="s">
        <v>14</v>
      </c>
    </row>
    <row r="17" spans="1:4">
      <c r="A17" s="9" t="s">
        <v>68</v>
      </c>
      <c r="B17" s="9" t="s">
        <v>66</v>
      </c>
      <c r="C17" s="9" t="s">
        <v>21</v>
      </c>
      <c r="D17" s="8" t="s">
        <v>14</v>
      </c>
    </row>
    <row r="18" spans="1:4">
      <c r="A18" s="7" t="s">
        <v>70</v>
      </c>
      <c r="B18" s="7" t="s">
        <v>69</v>
      </c>
      <c r="C18" s="7" t="s">
        <v>5</v>
      </c>
      <c r="D18" s="8" t="s">
        <v>14</v>
      </c>
    </row>
    <row r="19" spans="1:4">
      <c r="A19" s="7" t="s">
        <v>72</v>
      </c>
      <c r="B19" s="7" t="s">
        <v>71</v>
      </c>
      <c r="C19" s="7" t="s">
        <v>5</v>
      </c>
      <c r="D19" s="8" t="s">
        <v>6</v>
      </c>
    </row>
    <row r="20" spans="1:4">
      <c r="A20" s="7" t="s">
        <v>76</v>
      </c>
      <c r="B20" s="7" t="s">
        <v>75</v>
      </c>
      <c r="C20" s="7" t="s">
        <v>5</v>
      </c>
      <c r="D20" s="8" t="s">
        <v>14</v>
      </c>
    </row>
    <row r="21" spans="1:4">
      <c r="A21" s="9" t="s">
        <v>78</v>
      </c>
      <c r="B21" s="9" t="s">
        <v>77</v>
      </c>
      <c r="C21" s="9" t="s">
        <v>21</v>
      </c>
      <c r="D21" s="8" t="s">
        <v>14</v>
      </c>
    </row>
    <row r="22" spans="1:4">
      <c r="A22" s="7" t="s">
        <v>80</v>
      </c>
      <c r="B22" s="7" t="s">
        <v>79</v>
      </c>
      <c r="C22" s="7" t="s">
        <v>5</v>
      </c>
      <c r="D22" s="8" t="s">
        <v>14</v>
      </c>
    </row>
    <row r="23" spans="1:4">
      <c r="A23" s="7" t="s">
        <v>82</v>
      </c>
      <c r="B23" s="7" t="s">
        <v>81</v>
      </c>
      <c r="C23" s="7" t="s">
        <v>5</v>
      </c>
      <c r="D23" s="8" t="s">
        <v>14</v>
      </c>
    </row>
    <row r="24" spans="1:4">
      <c r="A24" s="7" t="s">
        <v>84</v>
      </c>
      <c r="B24" s="7" t="s">
        <v>83</v>
      </c>
      <c r="C24" s="7" t="s">
        <v>5</v>
      </c>
      <c r="D24" s="8" t="s">
        <v>14</v>
      </c>
    </row>
    <row r="25" spans="1:4">
      <c r="A25" s="7" t="s">
        <v>86</v>
      </c>
      <c r="B25" s="7" t="s">
        <v>85</v>
      </c>
      <c r="C25" s="7" t="s">
        <v>5</v>
      </c>
      <c r="D25" s="8" t="s">
        <v>6</v>
      </c>
    </row>
    <row r="26" spans="1:4">
      <c r="A26" s="9" t="s">
        <v>88</v>
      </c>
      <c r="B26" s="9" t="s">
        <v>87</v>
      </c>
      <c r="C26" s="9" t="s">
        <v>21</v>
      </c>
      <c r="D26" s="8" t="s">
        <v>14</v>
      </c>
    </row>
    <row r="27" spans="1:4">
      <c r="A27" s="9" t="s">
        <v>91</v>
      </c>
      <c r="B27" s="9" t="s">
        <v>601</v>
      </c>
      <c r="C27" s="9" t="s">
        <v>21</v>
      </c>
      <c r="D27" s="8" t="s">
        <v>14</v>
      </c>
    </row>
    <row r="28" spans="1:4">
      <c r="A28" s="9" t="s">
        <v>93</v>
      </c>
      <c r="B28" s="9" t="s">
        <v>92</v>
      </c>
      <c r="C28" s="9" t="s">
        <v>21</v>
      </c>
      <c r="D28" s="8" t="s">
        <v>14</v>
      </c>
    </row>
    <row r="29" spans="1:4">
      <c r="A29" s="9" t="s">
        <v>95</v>
      </c>
      <c r="B29" s="9" t="s">
        <v>602</v>
      </c>
      <c r="C29" s="9" t="s">
        <v>21</v>
      </c>
      <c r="D29" s="8" t="s">
        <v>14</v>
      </c>
    </row>
    <row r="30" spans="1:4">
      <c r="A30" s="9" t="s">
        <v>98</v>
      </c>
      <c r="B30" s="9" t="s">
        <v>96</v>
      </c>
      <c r="C30" s="9" t="s">
        <v>21</v>
      </c>
      <c r="D30" s="8" t="s">
        <v>14</v>
      </c>
    </row>
    <row r="31" spans="1:4">
      <c r="A31" s="9" t="s">
        <v>100</v>
      </c>
      <c r="B31" s="9" t="s">
        <v>603</v>
      </c>
      <c r="C31" s="9" t="s">
        <v>21</v>
      </c>
      <c r="D31" s="8" t="s">
        <v>14</v>
      </c>
    </row>
    <row r="32" spans="1:4">
      <c r="A32" s="9" t="s">
        <v>105</v>
      </c>
      <c r="B32" s="9" t="s">
        <v>104</v>
      </c>
      <c r="C32" s="9" t="s">
        <v>21</v>
      </c>
      <c r="D32" s="8" t="s">
        <v>6</v>
      </c>
    </row>
    <row r="33" spans="1:4">
      <c r="A33" s="9" t="s">
        <v>107</v>
      </c>
      <c r="B33" s="9" t="s">
        <v>106</v>
      </c>
      <c r="C33" s="9" t="s">
        <v>21</v>
      </c>
      <c r="D33" s="8" t="s">
        <v>14</v>
      </c>
    </row>
    <row r="34" spans="1:4">
      <c r="A34" s="9" t="s">
        <v>109</v>
      </c>
      <c r="B34" s="9" t="s">
        <v>108</v>
      </c>
      <c r="C34" s="9" t="s">
        <v>21</v>
      </c>
      <c r="D34" s="8" t="s">
        <v>14</v>
      </c>
    </row>
    <row r="35" spans="1:4">
      <c r="A35" s="9" t="s">
        <v>111</v>
      </c>
      <c r="B35" s="9" t="s">
        <v>110</v>
      </c>
      <c r="C35" s="9" t="s">
        <v>21</v>
      </c>
      <c r="D35" s="8" t="s">
        <v>14</v>
      </c>
    </row>
    <row r="36" spans="1:4">
      <c r="A36" s="9" t="s">
        <v>113</v>
      </c>
      <c r="B36" s="9" t="s">
        <v>112</v>
      </c>
      <c r="C36" s="9" t="s">
        <v>21</v>
      </c>
      <c r="D36" s="8" t="s">
        <v>14</v>
      </c>
    </row>
    <row r="37" spans="1:4">
      <c r="A37" s="9" t="s">
        <v>115</v>
      </c>
      <c r="B37" s="9" t="s">
        <v>114</v>
      </c>
      <c r="C37" s="9" t="s">
        <v>21</v>
      </c>
      <c r="D37" s="8" t="s">
        <v>14</v>
      </c>
    </row>
    <row r="38" spans="1:4">
      <c r="A38" s="9" t="s">
        <v>117</v>
      </c>
      <c r="B38" s="9" t="s">
        <v>116</v>
      </c>
      <c r="C38" s="9" t="s">
        <v>21</v>
      </c>
      <c r="D38" s="8" t="s">
        <v>14</v>
      </c>
    </row>
    <row r="39" spans="1:4">
      <c r="A39" s="9" t="s">
        <v>119</v>
      </c>
      <c r="B39" s="9" t="s">
        <v>118</v>
      </c>
      <c r="C39" s="9" t="s">
        <v>21</v>
      </c>
      <c r="D39" s="8" t="s">
        <v>14</v>
      </c>
    </row>
    <row r="40" spans="1:4">
      <c r="A40" s="9" t="s">
        <v>596</v>
      </c>
      <c r="B40" s="9" t="s">
        <v>120</v>
      </c>
      <c r="C40" s="9" t="s">
        <v>21</v>
      </c>
      <c r="D40" s="8" t="s">
        <v>14</v>
      </c>
    </row>
    <row r="41" spans="1:4">
      <c r="A41" s="9" t="s">
        <v>123</v>
      </c>
      <c r="B41" s="9" t="s">
        <v>122</v>
      </c>
      <c r="C41" s="9" t="s">
        <v>21</v>
      </c>
      <c r="D41" s="8" t="s">
        <v>6</v>
      </c>
    </row>
    <row r="42" spans="1:4">
      <c r="A42" s="9" t="s">
        <v>125</v>
      </c>
      <c r="B42" s="9" t="s">
        <v>124</v>
      </c>
      <c r="C42" s="9" t="s">
        <v>21</v>
      </c>
      <c r="D42" s="8" t="s">
        <v>14</v>
      </c>
    </row>
    <row r="43" spans="1:4">
      <c r="A43" s="9" t="s">
        <v>127</v>
      </c>
      <c r="B43" s="9" t="s">
        <v>126</v>
      </c>
      <c r="C43" s="9" t="s">
        <v>21</v>
      </c>
      <c r="D43" s="8" t="s">
        <v>14</v>
      </c>
    </row>
    <row r="44" spans="1:4">
      <c r="A44" s="9" t="s">
        <v>127</v>
      </c>
      <c r="B44" s="9" t="s">
        <v>604</v>
      </c>
      <c r="C44" s="9" t="s">
        <v>21</v>
      </c>
      <c r="D44" s="8" t="s">
        <v>14</v>
      </c>
    </row>
    <row r="45" spans="1:4">
      <c r="A45" s="9" t="s">
        <v>129</v>
      </c>
      <c r="B45" s="9" t="s">
        <v>128</v>
      </c>
      <c r="C45" s="9" t="s">
        <v>21</v>
      </c>
      <c r="D45" s="8" t="s">
        <v>14</v>
      </c>
    </row>
    <row r="46" spans="1:4">
      <c r="A46" s="9" t="s">
        <v>131</v>
      </c>
      <c r="B46" s="9" t="s">
        <v>130</v>
      </c>
      <c r="C46" s="9" t="s">
        <v>21</v>
      </c>
      <c r="D46" s="8" t="s">
        <v>14</v>
      </c>
    </row>
    <row r="47" spans="1:4">
      <c r="A47" s="9" t="s">
        <v>133</v>
      </c>
      <c r="B47" s="9" t="s">
        <v>132</v>
      </c>
      <c r="C47" s="9" t="s">
        <v>21</v>
      </c>
      <c r="D47" s="8" t="s">
        <v>14</v>
      </c>
    </row>
    <row r="48" spans="1:4">
      <c r="A48" s="9" t="s">
        <v>135</v>
      </c>
      <c r="B48" s="9" t="s">
        <v>134</v>
      </c>
      <c r="C48" s="9" t="s">
        <v>21</v>
      </c>
      <c r="D48" s="8" t="s">
        <v>14</v>
      </c>
    </row>
    <row r="49" spans="1:4">
      <c r="A49" s="9" t="s">
        <v>137</v>
      </c>
      <c r="B49" s="9" t="s">
        <v>605</v>
      </c>
      <c r="C49" s="9" t="s">
        <v>21</v>
      </c>
      <c r="D49" s="8" t="s">
        <v>14</v>
      </c>
    </row>
    <row r="50" spans="1:4">
      <c r="A50" s="9" t="s">
        <v>139</v>
      </c>
      <c r="B50" s="9" t="s">
        <v>138</v>
      </c>
      <c r="C50" s="9" t="s">
        <v>21</v>
      </c>
      <c r="D50" s="8" t="s">
        <v>14</v>
      </c>
    </row>
    <row r="51" spans="1:4">
      <c r="A51" s="7" t="s">
        <v>141</v>
      </c>
      <c r="B51" s="7" t="s">
        <v>140</v>
      </c>
      <c r="C51" s="7" t="s">
        <v>5</v>
      </c>
      <c r="D51" s="8" t="s">
        <v>14</v>
      </c>
    </row>
    <row r="52" spans="1:4">
      <c r="A52" s="7" t="s">
        <v>143</v>
      </c>
      <c r="B52" s="7" t="s">
        <v>142</v>
      </c>
      <c r="C52" s="7" t="s">
        <v>5</v>
      </c>
      <c r="D52" s="8" t="s">
        <v>14</v>
      </c>
    </row>
    <row r="53" spans="1:4">
      <c r="A53" s="10" t="s">
        <v>148</v>
      </c>
      <c r="B53" s="10" t="s">
        <v>606</v>
      </c>
      <c r="C53" s="10" t="s">
        <v>37</v>
      </c>
      <c r="D53" s="8" t="s">
        <v>14</v>
      </c>
    </row>
    <row r="54" spans="1:4">
      <c r="A54" s="9" t="s">
        <v>150</v>
      </c>
      <c r="B54" s="9" t="s">
        <v>149</v>
      </c>
      <c r="C54" s="9" t="s">
        <v>21</v>
      </c>
      <c r="D54" s="8" t="s">
        <v>6</v>
      </c>
    </row>
    <row r="55" spans="1:4">
      <c r="A55" s="10" t="s">
        <v>152</v>
      </c>
      <c r="B55" s="10" t="s">
        <v>607</v>
      </c>
      <c r="C55" s="10" t="s">
        <v>37</v>
      </c>
      <c r="D55" s="8" t="s">
        <v>6</v>
      </c>
    </row>
    <row r="56" spans="1:4">
      <c r="A56" s="9" t="s">
        <v>154</v>
      </c>
      <c r="B56" s="9" t="s">
        <v>608</v>
      </c>
      <c r="C56" s="9" t="s">
        <v>21</v>
      </c>
      <c r="D56" s="8" t="s">
        <v>14</v>
      </c>
    </row>
    <row r="57" spans="1:4">
      <c r="A57" s="7" t="s">
        <v>156</v>
      </c>
      <c r="B57" s="7" t="s">
        <v>155</v>
      </c>
      <c r="C57" s="7" t="s">
        <v>5</v>
      </c>
      <c r="D57" s="8" t="s">
        <v>14</v>
      </c>
    </row>
    <row r="58" spans="1:4">
      <c r="A58" s="9" t="s">
        <v>158</v>
      </c>
      <c r="B58" s="9" t="s">
        <v>157</v>
      </c>
      <c r="C58" s="9" t="s">
        <v>21</v>
      </c>
      <c r="D58" s="8" t="s">
        <v>14</v>
      </c>
    </row>
    <row r="59" spans="1:4">
      <c r="A59" s="9" t="s">
        <v>160</v>
      </c>
      <c r="B59" s="9" t="s">
        <v>159</v>
      </c>
      <c r="C59" s="9" t="s">
        <v>21</v>
      </c>
      <c r="D59" s="8" t="s">
        <v>14</v>
      </c>
    </row>
    <row r="60" spans="1:4">
      <c r="A60" s="10" t="s">
        <v>162</v>
      </c>
      <c r="B60" s="10" t="s">
        <v>609</v>
      </c>
      <c r="C60" s="10" t="s">
        <v>37</v>
      </c>
      <c r="D60" s="8" t="s">
        <v>14</v>
      </c>
    </row>
    <row r="61" spans="1:4">
      <c r="A61" s="10" t="s">
        <v>164</v>
      </c>
      <c r="B61" s="10" t="s">
        <v>610</v>
      </c>
      <c r="C61" s="10" t="s">
        <v>37</v>
      </c>
      <c r="D61" s="8" t="s">
        <v>14</v>
      </c>
    </row>
    <row r="62" spans="1:4">
      <c r="A62" s="9" t="s">
        <v>166</v>
      </c>
      <c r="B62" s="9" t="s">
        <v>165</v>
      </c>
      <c r="C62" s="9" t="s">
        <v>21</v>
      </c>
      <c r="D62" s="8" t="s">
        <v>6</v>
      </c>
    </row>
    <row r="63" spans="1:4">
      <c r="A63" s="9" t="s">
        <v>168</v>
      </c>
      <c r="B63" s="9" t="s">
        <v>167</v>
      </c>
      <c r="C63" s="9" t="s">
        <v>21</v>
      </c>
      <c r="D63" s="8" t="s">
        <v>6</v>
      </c>
    </row>
    <row r="64" spans="1:4">
      <c r="A64" s="7" t="s">
        <v>171</v>
      </c>
      <c r="B64" s="7" t="s">
        <v>169</v>
      </c>
      <c r="C64" s="7" t="s">
        <v>5</v>
      </c>
      <c r="D64" s="8" t="s">
        <v>6</v>
      </c>
    </row>
    <row r="65" spans="1:4">
      <c r="A65" s="9" t="s">
        <v>174</v>
      </c>
      <c r="B65" s="9" t="s">
        <v>172</v>
      </c>
      <c r="C65" s="9" t="s">
        <v>21</v>
      </c>
      <c r="D65" s="8" t="s">
        <v>14</v>
      </c>
    </row>
    <row r="66" spans="1:4">
      <c r="A66" s="9" t="s">
        <v>180</v>
      </c>
      <c r="B66" s="9" t="s">
        <v>178</v>
      </c>
      <c r="C66" s="9" t="s">
        <v>21</v>
      </c>
      <c r="D66" s="8" t="s">
        <v>6</v>
      </c>
    </row>
    <row r="67" spans="1:4">
      <c r="A67" s="9" t="s">
        <v>182</v>
      </c>
      <c r="B67" s="9" t="s">
        <v>181</v>
      </c>
      <c r="C67" s="9" t="s">
        <v>21</v>
      </c>
      <c r="D67" s="8" t="s">
        <v>6</v>
      </c>
    </row>
    <row r="68" spans="1:4">
      <c r="A68" s="7" t="s">
        <v>597</v>
      </c>
      <c r="B68" s="7" t="s">
        <v>183</v>
      </c>
      <c r="C68" s="7" t="s">
        <v>5</v>
      </c>
      <c r="D68" s="8" t="s">
        <v>6</v>
      </c>
    </row>
    <row r="69" spans="1:4">
      <c r="A69" s="9" t="s">
        <v>188</v>
      </c>
      <c r="B69" s="9" t="s">
        <v>186</v>
      </c>
      <c r="C69" s="9" t="s">
        <v>21</v>
      </c>
      <c r="D69" s="8" t="s">
        <v>14</v>
      </c>
    </row>
    <row r="70" spans="1:4">
      <c r="A70" s="7" t="s">
        <v>190</v>
      </c>
      <c r="B70" s="7" t="s">
        <v>189</v>
      </c>
      <c r="C70" s="7" t="s">
        <v>5</v>
      </c>
      <c r="D70" s="8" t="s">
        <v>14</v>
      </c>
    </row>
    <row r="71" spans="1:4">
      <c r="A71" s="7" t="s">
        <v>194</v>
      </c>
      <c r="B71" s="7" t="s">
        <v>193</v>
      </c>
      <c r="C71" s="7" t="s">
        <v>5</v>
      </c>
      <c r="D71" s="8" t="s">
        <v>6</v>
      </c>
    </row>
    <row r="72" spans="1:4">
      <c r="A72" s="10" t="s">
        <v>197</v>
      </c>
      <c r="B72" s="10" t="s">
        <v>611</v>
      </c>
      <c r="C72" s="10" t="s">
        <v>37</v>
      </c>
      <c r="D72" s="8" t="s">
        <v>6</v>
      </c>
    </row>
    <row r="73" spans="1:4">
      <c r="A73" s="10" t="s">
        <v>202</v>
      </c>
      <c r="B73" s="10" t="s">
        <v>200</v>
      </c>
      <c r="C73" s="10" t="s">
        <v>37</v>
      </c>
      <c r="D73" s="8" t="s">
        <v>14</v>
      </c>
    </row>
    <row r="74" spans="1:4">
      <c r="A74" s="10" t="s">
        <v>205</v>
      </c>
      <c r="B74" s="10" t="s">
        <v>612</v>
      </c>
      <c r="C74" s="10" t="s">
        <v>37</v>
      </c>
      <c r="D74" s="8" t="s">
        <v>14</v>
      </c>
    </row>
    <row r="75" spans="1:4">
      <c r="A75" s="10" t="s">
        <v>208</v>
      </c>
      <c r="B75" s="10" t="s">
        <v>206</v>
      </c>
      <c r="C75" s="10" t="s">
        <v>37</v>
      </c>
      <c r="D75" s="8" t="s">
        <v>14</v>
      </c>
    </row>
    <row r="76" spans="1:4">
      <c r="A76" s="9" t="s">
        <v>210</v>
      </c>
      <c r="B76" s="9" t="s">
        <v>209</v>
      </c>
      <c r="C76" s="9" t="s">
        <v>21</v>
      </c>
      <c r="D76" s="8" t="s">
        <v>14</v>
      </c>
    </row>
    <row r="77" spans="1:4">
      <c r="A77" s="9" t="s">
        <v>214</v>
      </c>
      <c r="B77" s="9" t="s">
        <v>213</v>
      </c>
      <c r="C77" s="9" t="s">
        <v>21</v>
      </c>
      <c r="D77" s="8" t="s">
        <v>14</v>
      </c>
    </row>
    <row r="78" spans="1:4">
      <c r="A78" s="7" t="s">
        <v>216</v>
      </c>
      <c r="B78" s="7" t="s">
        <v>215</v>
      </c>
      <c r="C78" s="7" t="s">
        <v>5</v>
      </c>
      <c r="D78" s="8" t="s">
        <v>14</v>
      </c>
    </row>
    <row r="79" spans="1:4">
      <c r="A79" s="9" t="s">
        <v>218</v>
      </c>
      <c r="B79" s="9" t="s">
        <v>217</v>
      </c>
      <c r="C79" s="9" t="s">
        <v>21</v>
      </c>
      <c r="D79" s="8" t="s">
        <v>14</v>
      </c>
    </row>
    <row r="80" spans="1:4">
      <c r="A80" s="9" t="s">
        <v>220</v>
      </c>
      <c r="B80" s="9" t="s">
        <v>219</v>
      </c>
      <c r="C80" s="9" t="s">
        <v>21</v>
      </c>
      <c r="D80" s="8" t="s">
        <v>14</v>
      </c>
    </row>
    <row r="81" spans="1:4">
      <c r="A81" s="7" t="s">
        <v>222</v>
      </c>
      <c r="B81" s="7" t="s">
        <v>221</v>
      </c>
      <c r="C81" s="7" t="s">
        <v>5</v>
      </c>
      <c r="D81" s="8" t="s">
        <v>6</v>
      </c>
    </row>
    <row r="82" spans="1:4">
      <c r="A82" s="9" t="s">
        <v>224</v>
      </c>
      <c r="B82" s="9" t="s">
        <v>223</v>
      </c>
      <c r="C82" s="9" t="s">
        <v>21</v>
      </c>
      <c r="D82" s="8" t="s">
        <v>14</v>
      </c>
    </row>
    <row r="83" spans="1:4">
      <c r="A83" s="9" t="s">
        <v>230</v>
      </c>
      <c r="B83" s="9" t="s">
        <v>229</v>
      </c>
      <c r="C83" s="9" t="s">
        <v>21</v>
      </c>
      <c r="D83" s="8" t="s">
        <v>14</v>
      </c>
    </row>
    <row r="84" spans="1:4">
      <c r="A84" s="10" t="s">
        <v>228</v>
      </c>
      <c r="B84" s="10" t="s">
        <v>227</v>
      </c>
      <c r="C84" s="10" t="s">
        <v>37</v>
      </c>
      <c r="D84" s="8" t="s">
        <v>14</v>
      </c>
    </row>
    <row r="85" spans="1:4">
      <c r="A85" s="9" t="s">
        <v>232</v>
      </c>
      <c r="B85" s="9" t="s">
        <v>231</v>
      </c>
      <c r="C85" s="9" t="s">
        <v>21</v>
      </c>
      <c r="D85" s="8" t="s">
        <v>14</v>
      </c>
    </row>
    <row r="86" spans="1:4">
      <c r="A86" s="10" t="s">
        <v>235</v>
      </c>
      <c r="B86" s="10" t="s">
        <v>233</v>
      </c>
      <c r="C86" s="10" t="s">
        <v>37</v>
      </c>
      <c r="D86" s="8" t="s">
        <v>14</v>
      </c>
    </row>
    <row r="87" spans="1:4">
      <c r="A87" s="9" t="s">
        <v>239</v>
      </c>
      <c r="B87" s="9" t="s">
        <v>238</v>
      </c>
      <c r="C87" s="9" t="s">
        <v>21</v>
      </c>
      <c r="D87" s="8" t="s">
        <v>14</v>
      </c>
    </row>
    <row r="88" spans="1:4">
      <c r="A88" s="9" t="s">
        <v>241</v>
      </c>
      <c r="B88" s="9" t="s">
        <v>240</v>
      </c>
      <c r="C88" s="9" t="s">
        <v>21</v>
      </c>
      <c r="D88" s="8" t="s">
        <v>14</v>
      </c>
    </row>
    <row r="89" spans="1:4">
      <c r="A89" s="7" t="s">
        <v>243</v>
      </c>
      <c r="B89" s="7" t="s">
        <v>242</v>
      </c>
      <c r="C89" s="7" t="s">
        <v>5</v>
      </c>
      <c r="D89" s="8" t="s">
        <v>14</v>
      </c>
    </row>
    <row r="90" spans="1:4">
      <c r="A90" s="9" t="s">
        <v>245</v>
      </c>
      <c r="B90" s="9" t="s">
        <v>244</v>
      </c>
      <c r="C90" s="9" t="s">
        <v>21</v>
      </c>
      <c r="D90" s="8" t="s">
        <v>14</v>
      </c>
    </row>
    <row r="91" spans="1:4">
      <c r="A91" s="10" t="s">
        <v>250</v>
      </c>
      <c r="B91" s="10" t="s">
        <v>613</v>
      </c>
      <c r="C91" s="10" t="s">
        <v>37</v>
      </c>
      <c r="D91" s="8" t="s">
        <v>6</v>
      </c>
    </row>
    <row r="92" spans="1:4">
      <c r="A92" s="9" t="s">
        <v>250</v>
      </c>
      <c r="B92" s="9" t="s">
        <v>614</v>
      </c>
      <c r="C92" s="9" t="s">
        <v>579</v>
      </c>
      <c r="D92" s="8" t="s">
        <v>14</v>
      </c>
    </row>
    <row r="93" spans="1:4">
      <c r="A93" s="9" t="s">
        <v>257</v>
      </c>
      <c r="B93" s="9" t="s">
        <v>615</v>
      </c>
      <c r="C93" s="9" t="s">
        <v>21</v>
      </c>
      <c r="D93" s="8" t="s">
        <v>14</v>
      </c>
    </row>
    <row r="94" spans="1:4">
      <c r="A94" s="9" t="s">
        <v>259</v>
      </c>
      <c r="B94" s="9" t="s">
        <v>258</v>
      </c>
      <c r="C94" s="9" t="s">
        <v>21</v>
      </c>
      <c r="D94" s="8" t="s">
        <v>14</v>
      </c>
    </row>
    <row r="95" spans="1:4">
      <c r="A95" s="9" t="s">
        <v>261</v>
      </c>
      <c r="B95" s="9" t="s">
        <v>260</v>
      </c>
      <c r="C95" s="9" t="s">
        <v>21</v>
      </c>
      <c r="D95" s="8" t="s">
        <v>14</v>
      </c>
    </row>
    <row r="96" spans="1:4">
      <c r="A96" s="9" t="s">
        <v>263</v>
      </c>
      <c r="B96" s="9" t="s">
        <v>262</v>
      </c>
      <c r="C96" s="9" t="s">
        <v>21</v>
      </c>
      <c r="D96" s="8" t="s">
        <v>14</v>
      </c>
    </row>
    <row r="97" spans="1:4">
      <c r="A97" s="7" t="s">
        <v>265</v>
      </c>
      <c r="B97" s="7" t="s">
        <v>264</v>
      </c>
      <c r="C97" s="7" t="s">
        <v>5</v>
      </c>
      <c r="D97" s="8" t="s">
        <v>6</v>
      </c>
    </row>
    <row r="98" spans="1:4">
      <c r="A98" s="9" t="s">
        <v>276</v>
      </c>
      <c r="B98" s="9" t="s">
        <v>275</v>
      </c>
      <c r="C98" s="9" t="s">
        <v>21</v>
      </c>
      <c r="D98" s="8" t="s">
        <v>14</v>
      </c>
    </row>
    <row r="99" spans="1:4">
      <c r="A99" s="9" t="s">
        <v>280</v>
      </c>
      <c r="B99" s="9" t="s">
        <v>279</v>
      </c>
      <c r="C99" s="9" t="s">
        <v>21</v>
      </c>
      <c r="D99" s="8" t="s">
        <v>14</v>
      </c>
    </row>
    <row r="100" spans="1:4">
      <c r="A100" s="9" t="s">
        <v>282</v>
      </c>
      <c r="B100" s="9" t="s">
        <v>281</v>
      </c>
      <c r="C100" s="9" t="s">
        <v>21</v>
      </c>
      <c r="D100" s="8" t="s">
        <v>14</v>
      </c>
    </row>
    <row r="101" spans="1:4">
      <c r="A101" s="9" t="s">
        <v>284</v>
      </c>
      <c r="B101" s="9" t="s">
        <v>616</v>
      </c>
      <c r="C101" s="9" t="s">
        <v>21</v>
      </c>
      <c r="D101" s="8" t="s">
        <v>14</v>
      </c>
    </row>
    <row r="102" spans="1:4">
      <c r="A102" s="9" t="s">
        <v>290</v>
      </c>
      <c r="B102" s="9" t="s">
        <v>289</v>
      </c>
      <c r="C102" s="9" t="s">
        <v>21</v>
      </c>
      <c r="D102" s="8" t="s">
        <v>14</v>
      </c>
    </row>
    <row r="103" spans="1:4">
      <c r="A103" s="9" t="s">
        <v>295</v>
      </c>
      <c r="B103" s="9" t="s">
        <v>294</v>
      </c>
      <c r="C103" s="9" t="s">
        <v>21</v>
      </c>
      <c r="D103" s="8" t="s">
        <v>14</v>
      </c>
    </row>
    <row r="104" spans="1:4">
      <c r="A104" s="9" t="s">
        <v>299</v>
      </c>
      <c r="B104" s="9" t="s">
        <v>298</v>
      </c>
      <c r="C104" s="9" t="s">
        <v>21</v>
      </c>
      <c r="D104" s="8" t="s">
        <v>14</v>
      </c>
    </row>
    <row r="105" spans="1:4">
      <c r="A105" s="10" t="s">
        <v>302</v>
      </c>
      <c r="B105" s="10" t="s">
        <v>300</v>
      </c>
      <c r="C105" s="10" t="s">
        <v>37</v>
      </c>
      <c r="D105" s="8" t="s">
        <v>6</v>
      </c>
    </row>
    <row r="106" spans="1:4">
      <c r="A106" s="9" t="s">
        <v>304</v>
      </c>
      <c r="B106" s="9" t="s">
        <v>303</v>
      </c>
      <c r="C106" s="9" t="s">
        <v>21</v>
      </c>
      <c r="D106" s="8" t="s">
        <v>14</v>
      </c>
    </row>
    <row r="107" spans="1:4">
      <c r="A107" s="9" t="s">
        <v>308</v>
      </c>
      <c r="B107" s="9" t="s">
        <v>307</v>
      </c>
      <c r="C107" s="9" t="s">
        <v>21</v>
      </c>
      <c r="D107" s="8" t="s">
        <v>14</v>
      </c>
    </row>
    <row r="108" spans="1:4">
      <c r="A108" s="7" t="s">
        <v>310</v>
      </c>
      <c r="B108" s="7" t="s">
        <v>309</v>
      </c>
      <c r="C108" s="7" t="s">
        <v>5</v>
      </c>
      <c r="D108" s="8" t="s">
        <v>14</v>
      </c>
    </row>
    <row r="109" spans="1:4">
      <c r="A109" s="9" t="s">
        <v>312</v>
      </c>
      <c r="B109" s="9" t="s">
        <v>311</v>
      </c>
      <c r="C109" s="9" t="s">
        <v>21</v>
      </c>
      <c r="D109" s="8" t="s">
        <v>6</v>
      </c>
    </row>
    <row r="110" spans="1:4">
      <c r="A110" s="10" t="s">
        <v>314</v>
      </c>
      <c r="B110" s="10" t="s">
        <v>617</v>
      </c>
      <c r="C110" s="10" t="s">
        <v>37</v>
      </c>
      <c r="D110" s="8" t="s">
        <v>6</v>
      </c>
    </row>
    <row r="111" spans="1:4">
      <c r="A111" s="9" t="s">
        <v>316</v>
      </c>
      <c r="B111" s="9" t="s">
        <v>315</v>
      </c>
      <c r="C111" s="9" t="s">
        <v>21</v>
      </c>
      <c r="D111" s="8" t="s">
        <v>14</v>
      </c>
    </row>
    <row r="112" spans="1:4">
      <c r="A112" s="7" t="s">
        <v>322</v>
      </c>
      <c r="B112" s="7" t="s">
        <v>618</v>
      </c>
      <c r="C112" s="7" t="s">
        <v>5</v>
      </c>
      <c r="D112" s="8" t="s">
        <v>6</v>
      </c>
    </row>
    <row r="113" spans="1:4">
      <c r="A113" s="7" t="s">
        <v>324</v>
      </c>
      <c r="B113" s="7" t="s">
        <v>619</v>
      </c>
      <c r="C113" s="7" t="s">
        <v>5</v>
      </c>
      <c r="D113" s="8" t="s">
        <v>6</v>
      </c>
    </row>
    <row r="114" spans="1:4">
      <c r="A114" s="9" t="s">
        <v>326</v>
      </c>
      <c r="B114" s="9" t="s">
        <v>325</v>
      </c>
      <c r="C114" s="9" t="s">
        <v>21</v>
      </c>
      <c r="D114" s="8" t="s">
        <v>14</v>
      </c>
    </row>
    <row r="115" spans="1:4">
      <c r="A115" s="9" t="s">
        <v>596</v>
      </c>
      <c r="B115" s="9" t="s">
        <v>327</v>
      </c>
      <c r="C115" s="9" t="s">
        <v>21</v>
      </c>
      <c r="D115" s="8" t="s">
        <v>14</v>
      </c>
    </row>
    <row r="116" spans="1:4">
      <c r="A116" s="9" t="s">
        <v>329</v>
      </c>
      <c r="B116" s="9" t="s">
        <v>328</v>
      </c>
      <c r="C116" s="9" t="s">
        <v>21</v>
      </c>
      <c r="D116" s="8" t="s">
        <v>14</v>
      </c>
    </row>
    <row r="117" spans="1:4">
      <c r="A117" s="10" t="s">
        <v>331</v>
      </c>
      <c r="B117" s="10" t="s">
        <v>620</v>
      </c>
      <c r="C117" s="10" t="s">
        <v>37</v>
      </c>
      <c r="D117" s="8" t="s">
        <v>14</v>
      </c>
    </row>
    <row r="118" spans="1:4">
      <c r="A118" s="9" t="s">
        <v>331</v>
      </c>
      <c r="B118" s="9" t="s">
        <v>621</v>
      </c>
      <c r="C118" s="9" t="s">
        <v>579</v>
      </c>
      <c r="D118" s="8" t="s">
        <v>14</v>
      </c>
    </row>
    <row r="119" spans="1:4">
      <c r="A119" s="9" t="s">
        <v>336</v>
      </c>
      <c r="B119" s="9" t="s">
        <v>335</v>
      </c>
      <c r="C119" s="9" t="s">
        <v>21</v>
      </c>
      <c r="D119" s="8" t="s">
        <v>14</v>
      </c>
    </row>
    <row r="120" spans="1:4">
      <c r="A120" s="7" t="s">
        <v>338</v>
      </c>
      <c r="B120" s="7" t="s">
        <v>337</v>
      </c>
      <c r="C120" s="7" t="s">
        <v>5</v>
      </c>
      <c r="D120" s="8" t="s">
        <v>14</v>
      </c>
    </row>
    <row r="121" spans="1:4">
      <c r="A121" s="9" t="s">
        <v>344</v>
      </c>
      <c r="B121" s="9" t="s">
        <v>622</v>
      </c>
      <c r="C121" s="9" t="s">
        <v>21</v>
      </c>
      <c r="D121" s="8" t="s">
        <v>14</v>
      </c>
    </row>
    <row r="122" spans="1:4">
      <c r="A122" s="9" t="s">
        <v>348</v>
      </c>
      <c r="B122" s="9" t="s">
        <v>347</v>
      </c>
      <c r="C122" s="9" t="s">
        <v>21</v>
      </c>
      <c r="D122" s="8" t="s">
        <v>14</v>
      </c>
    </row>
    <row r="123" spans="1:4">
      <c r="A123" s="7" t="s">
        <v>354</v>
      </c>
      <c r="B123" s="7" t="s">
        <v>353</v>
      </c>
      <c r="C123" s="7" t="s">
        <v>5</v>
      </c>
      <c r="D123" s="8" t="s">
        <v>6</v>
      </c>
    </row>
    <row r="124" spans="1:4">
      <c r="A124" s="9" t="s">
        <v>356</v>
      </c>
      <c r="B124" s="9" t="s">
        <v>355</v>
      </c>
      <c r="C124" s="9" t="s">
        <v>21</v>
      </c>
      <c r="D124" s="8" t="s">
        <v>14</v>
      </c>
    </row>
    <row r="125" spans="1:4">
      <c r="A125" s="9" t="s">
        <v>358</v>
      </c>
      <c r="B125" s="9" t="s">
        <v>357</v>
      </c>
      <c r="C125" s="9" t="s">
        <v>21</v>
      </c>
      <c r="D125" s="8" t="s">
        <v>14</v>
      </c>
    </row>
    <row r="126" spans="1:4">
      <c r="A126" s="9" t="s">
        <v>360</v>
      </c>
      <c r="B126" s="9" t="s">
        <v>359</v>
      </c>
      <c r="C126" s="9" t="s">
        <v>21</v>
      </c>
      <c r="D126" s="8" t="s">
        <v>14</v>
      </c>
    </row>
    <row r="127" spans="1:4">
      <c r="A127" s="10" t="s">
        <v>596</v>
      </c>
      <c r="B127" s="10" t="s">
        <v>361</v>
      </c>
      <c r="C127" s="10" t="s">
        <v>37</v>
      </c>
      <c r="D127" s="8" t="s">
        <v>14</v>
      </c>
    </row>
    <row r="128" spans="1:4">
      <c r="A128" s="10" t="s">
        <v>364</v>
      </c>
      <c r="B128" s="10" t="s">
        <v>363</v>
      </c>
      <c r="C128" s="10" t="s">
        <v>37</v>
      </c>
      <c r="D128" s="8" t="s">
        <v>14</v>
      </c>
    </row>
    <row r="129" spans="1:4">
      <c r="A129" s="7" t="s">
        <v>370</v>
      </c>
      <c r="B129" s="7" t="s">
        <v>369</v>
      </c>
      <c r="C129" s="7" t="s">
        <v>5</v>
      </c>
      <c r="D129" s="8" t="s">
        <v>14</v>
      </c>
    </row>
    <row r="130" spans="1:4">
      <c r="A130" s="9" t="s">
        <v>374</v>
      </c>
      <c r="B130" s="9" t="s">
        <v>373</v>
      </c>
      <c r="C130" s="9" t="s">
        <v>21</v>
      </c>
      <c r="D130" s="8" t="s">
        <v>14</v>
      </c>
    </row>
    <row r="131" spans="1:4">
      <c r="A131" s="9" t="s">
        <v>596</v>
      </c>
      <c r="B131" s="9" t="s">
        <v>375</v>
      </c>
      <c r="C131" s="9" t="s">
        <v>21</v>
      </c>
      <c r="D131" s="8" t="s">
        <v>14</v>
      </c>
    </row>
    <row r="132" spans="1:4">
      <c r="A132" s="9" t="s">
        <v>380</v>
      </c>
      <c r="B132" s="9" t="s">
        <v>379</v>
      </c>
      <c r="C132" s="9" t="s">
        <v>21</v>
      </c>
      <c r="D132" s="8" t="s">
        <v>14</v>
      </c>
    </row>
    <row r="133" spans="1:4">
      <c r="A133" s="9" t="s">
        <v>382</v>
      </c>
      <c r="B133" s="9" t="s">
        <v>381</v>
      </c>
      <c r="C133" s="9" t="s">
        <v>21</v>
      </c>
      <c r="D133" s="8" t="s">
        <v>14</v>
      </c>
    </row>
    <row r="134" spans="1:4">
      <c r="A134" s="7" t="s">
        <v>384</v>
      </c>
      <c r="B134" s="7" t="s">
        <v>383</v>
      </c>
      <c r="C134" s="7" t="s">
        <v>5</v>
      </c>
      <c r="D134" s="8" t="s">
        <v>14</v>
      </c>
    </row>
    <row r="135" spans="1:4">
      <c r="A135" s="9" t="s">
        <v>388</v>
      </c>
      <c r="B135" s="9" t="s">
        <v>387</v>
      </c>
      <c r="C135" s="9" t="s">
        <v>21</v>
      </c>
      <c r="D135" s="8" t="s">
        <v>14</v>
      </c>
    </row>
    <row r="136" spans="1:4">
      <c r="A136" s="7" t="s">
        <v>390</v>
      </c>
      <c r="B136" s="7" t="s">
        <v>389</v>
      </c>
      <c r="C136" s="7" t="s">
        <v>5</v>
      </c>
      <c r="D136" s="8" t="s">
        <v>6</v>
      </c>
    </row>
    <row r="137" spans="1:4">
      <c r="A137" s="9" t="s">
        <v>394</v>
      </c>
      <c r="B137" s="9" t="s">
        <v>393</v>
      </c>
      <c r="C137" s="9" t="s">
        <v>21</v>
      </c>
      <c r="D137" s="8" t="s">
        <v>14</v>
      </c>
    </row>
    <row r="138" spans="1:4">
      <c r="A138" s="9" t="s">
        <v>397</v>
      </c>
      <c r="B138" s="9" t="s">
        <v>395</v>
      </c>
      <c r="C138" s="9" t="s">
        <v>21</v>
      </c>
      <c r="D138" s="8" t="s">
        <v>6</v>
      </c>
    </row>
    <row r="139" spans="1:4">
      <c r="A139" s="7" t="s">
        <v>401</v>
      </c>
      <c r="B139" s="7" t="s">
        <v>400</v>
      </c>
      <c r="C139" s="7" t="s">
        <v>5</v>
      </c>
      <c r="D139" s="8" t="s">
        <v>14</v>
      </c>
    </row>
    <row r="140" spans="1:4">
      <c r="A140" s="7" t="s">
        <v>403</v>
      </c>
      <c r="B140" s="7" t="s">
        <v>402</v>
      </c>
      <c r="C140" s="7" t="s">
        <v>5</v>
      </c>
      <c r="D140" s="8" t="s">
        <v>14</v>
      </c>
    </row>
    <row r="141" spans="1:4">
      <c r="A141" s="10" t="s">
        <v>596</v>
      </c>
      <c r="B141" s="10" t="s">
        <v>404</v>
      </c>
      <c r="C141" s="10" t="s">
        <v>37</v>
      </c>
      <c r="D141" s="8" t="s">
        <v>6</v>
      </c>
    </row>
    <row r="142" spans="1:4">
      <c r="A142" s="10" t="s">
        <v>407</v>
      </c>
      <c r="B142" s="10" t="s">
        <v>623</v>
      </c>
      <c r="C142" s="10" t="s">
        <v>37</v>
      </c>
      <c r="D142" s="8" t="s">
        <v>6</v>
      </c>
    </row>
    <row r="143" spans="1:4">
      <c r="A143" s="9" t="s">
        <v>411</v>
      </c>
      <c r="B143" s="9" t="s">
        <v>410</v>
      </c>
      <c r="C143" s="9" t="s">
        <v>21</v>
      </c>
      <c r="D143" s="8" t="s">
        <v>14</v>
      </c>
    </row>
    <row r="144" spans="1:4">
      <c r="A144" s="7" t="s">
        <v>413</v>
      </c>
      <c r="B144" s="7" t="s">
        <v>624</v>
      </c>
      <c r="C144" s="7" t="s">
        <v>5</v>
      </c>
      <c r="D144" s="8" t="s">
        <v>6</v>
      </c>
    </row>
    <row r="145" spans="1:4">
      <c r="A145" s="9" t="s">
        <v>419</v>
      </c>
      <c r="B145" s="9" t="s">
        <v>418</v>
      </c>
      <c r="C145" s="9" t="s">
        <v>21</v>
      </c>
      <c r="D145" s="8" t="s">
        <v>14</v>
      </c>
    </row>
    <row r="146" spans="1:4">
      <c r="A146" s="9" t="s">
        <v>421</v>
      </c>
      <c r="B146" s="9" t="s">
        <v>420</v>
      </c>
      <c r="C146" s="9" t="s">
        <v>21</v>
      </c>
      <c r="D146" s="8" t="s">
        <v>14</v>
      </c>
    </row>
    <row r="147" spans="1:4">
      <c r="A147" s="9" t="s">
        <v>424</v>
      </c>
      <c r="B147" s="9" t="s">
        <v>422</v>
      </c>
      <c r="C147" s="9" t="s">
        <v>21</v>
      </c>
      <c r="D147" s="8" t="s">
        <v>14</v>
      </c>
    </row>
    <row r="148" spans="1:4">
      <c r="A148" s="9" t="s">
        <v>426</v>
      </c>
      <c r="B148" s="9" t="s">
        <v>425</v>
      </c>
      <c r="C148" s="9" t="s">
        <v>21</v>
      </c>
      <c r="D148" s="8" t="s">
        <v>14</v>
      </c>
    </row>
    <row r="149" spans="1:4">
      <c r="A149" s="9" t="s">
        <v>428</v>
      </c>
      <c r="B149" s="9" t="s">
        <v>625</v>
      </c>
      <c r="C149" s="9" t="s">
        <v>21</v>
      </c>
      <c r="D149" s="8" t="s">
        <v>14</v>
      </c>
    </row>
    <row r="150" spans="1:4">
      <c r="A150" s="9" t="s">
        <v>432</v>
      </c>
      <c r="B150" s="9" t="s">
        <v>431</v>
      </c>
      <c r="C150" s="9" t="s">
        <v>21</v>
      </c>
      <c r="D150" s="8" t="s">
        <v>14</v>
      </c>
    </row>
    <row r="151" spans="1:4">
      <c r="A151" s="9" t="s">
        <v>440</v>
      </c>
      <c r="B151" s="9" t="s">
        <v>439</v>
      </c>
      <c r="C151" s="9" t="s">
        <v>21</v>
      </c>
      <c r="D151" s="8" t="s">
        <v>14</v>
      </c>
    </row>
    <row r="152" spans="1:4">
      <c r="A152" s="9" t="s">
        <v>442</v>
      </c>
      <c r="B152" s="9" t="s">
        <v>441</v>
      </c>
      <c r="C152" s="9" t="s">
        <v>21</v>
      </c>
      <c r="D152" s="8" t="s">
        <v>14</v>
      </c>
    </row>
    <row r="153" spans="1:4">
      <c r="A153" s="9" t="s">
        <v>450</v>
      </c>
      <c r="B153" s="9" t="s">
        <v>449</v>
      </c>
      <c r="C153" s="9" t="s">
        <v>21</v>
      </c>
      <c r="D153" s="8" t="s">
        <v>14</v>
      </c>
    </row>
    <row r="154" spans="1:4">
      <c r="A154" s="9" t="s">
        <v>452</v>
      </c>
      <c r="B154" s="9" t="s">
        <v>451</v>
      </c>
      <c r="C154" s="9" t="s">
        <v>21</v>
      </c>
      <c r="D154" s="8" t="s">
        <v>14</v>
      </c>
    </row>
    <row r="155" spans="1:4">
      <c r="A155" s="9" t="s">
        <v>456</v>
      </c>
      <c r="B155" s="9" t="s">
        <v>455</v>
      </c>
      <c r="C155" s="9" t="s">
        <v>21</v>
      </c>
      <c r="D155" s="8" t="s">
        <v>14</v>
      </c>
    </row>
    <row r="156" spans="1:4">
      <c r="A156" s="7" t="s">
        <v>459</v>
      </c>
      <c r="B156" s="7" t="s">
        <v>457</v>
      </c>
      <c r="C156" s="7" t="s">
        <v>5</v>
      </c>
      <c r="D156" s="8" t="s">
        <v>6</v>
      </c>
    </row>
    <row r="157" spans="1:4">
      <c r="A157" s="9" t="s">
        <v>461</v>
      </c>
      <c r="B157" s="9" t="s">
        <v>460</v>
      </c>
      <c r="C157" s="9" t="s">
        <v>21</v>
      </c>
      <c r="D157" s="8" t="s">
        <v>14</v>
      </c>
    </row>
    <row r="158" spans="1:4">
      <c r="A158" s="9" t="s">
        <v>598</v>
      </c>
      <c r="B158" s="9" t="s">
        <v>626</v>
      </c>
      <c r="C158" s="9" t="s">
        <v>21</v>
      </c>
      <c r="D158" s="8" t="s">
        <v>14</v>
      </c>
    </row>
    <row r="159" spans="1:4">
      <c r="A159" s="9" t="s">
        <v>465</v>
      </c>
      <c r="B159" s="9" t="s">
        <v>627</v>
      </c>
      <c r="C159" s="9" t="s">
        <v>21</v>
      </c>
      <c r="D159" s="8" t="s">
        <v>14</v>
      </c>
    </row>
    <row r="160" spans="1:4">
      <c r="A160" s="9" t="s">
        <v>472</v>
      </c>
      <c r="B160" s="9" t="s">
        <v>471</v>
      </c>
      <c r="C160" s="9" t="s">
        <v>21</v>
      </c>
      <c r="D160" s="8" t="s">
        <v>14</v>
      </c>
    </row>
    <row r="161" spans="1:4">
      <c r="A161" s="7" t="s">
        <v>480</v>
      </c>
      <c r="B161" s="7" t="s">
        <v>479</v>
      </c>
      <c r="C161" s="7" t="s">
        <v>5</v>
      </c>
      <c r="D161" s="8" t="s">
        <v>14</v>
      </c>
    </row>
    <row r="162" spans="1:4">
      <c r="A162" s="7" t="s">
        <v>500</v>
      </c>
      <c r="B162" s="7" t="s">
        <v>628</v>
      </c>
      <c r="C162" s="7" t="s">
        <v>5</v>
      </c>
      <c r="D162" s="8" t="s">
        <v>14</v>
      </c>
    </row>
    <row r="163" spans="1:4">
      <c r="A163" s="7" t="s">
        <v>504</v>
      </c>
      <c r="B163" s="7" t="s">
        <v>503</v>
      </c>
      <c r="C163" s="7" t="s">
        <v>5</v>
      </c>
      <c r="D163" s="8" t="s">
        <v>6</v>
      </c>
    </row>
    <row r="164" spans="1:4">
      <c r="A164" s="7" t="s">
        <v>512</v>
      </c>
      <c r="B164" s="7" t="s">
        <v>511</v>
      </c>
      <c r="C164" s="7" t="s">
        <v>5</v>
      </c>
      <c r="D164" s="8" t="s">
        <v>14</v>
      </c>
    </row>
    <row r="165" spans="1:4">
      <c r="A165" s="7" t="s">
        <v>516</v>
      </c>
      <c r="B165" s="7" t="s">
        <v>515</v>
      </c>
      <c r="C165" s="7" t="s">
        <v>5</v>
      </c>
      <c r="D165" s="8" t="s">
        <v>14</v>
      </c>
    </row>
    <row r="166" spans="1:4">
      <c r="A166" s="7" t="s">
        <v>530</v>
      </c>
      <c r="B166" s="7" t="s">
        <v>529</v>
      </c>
      <c r="C166" s="7" t="s">
        <v>5</v>
      </c>
      <c r="D166" s="8" t="s">
        <v>14</v>
      </c>
    </row>
    <row r="167" spans="1:4">
      <c r="A167" s="9" t="s">
        <v>536</v>
      </c>
      <c r="B167" s="9" t="s">
        <v>535</v>
      </c>
      <c r="C167" s="9" t="s">
        <v>21</v>
      </c>
      <c r="D167" s="8" t="s">
        <v>14</v>
      </c>
    </row>
    <row r="168" spans="1:4">
      <c r="A168" s="10" t="s">
        <v>538</v>
      </c>
      <c r="B168" s="10" t="s">
        <v>537</v>
      </c>
      <c r="C168" s="10" t="s">
        <v>37</v>
      </c>
      <c r="D168" s="8" t="s">
        <v>14</v>
      </c>
    </row>
    <row r="169" spans="1:4">
      <c r="A169" s="9" t="s">
        <v>540</v>
      </c>
      <c r="B169" s="9" t="s">
        <v>539</v>
      </c>
      <c r="C169" s="9" t="s">
        <v>21</v>
      </c>
      <c r="D169" s="8" t="s">
        <v>14</v>
      </c>
    </row>
    <row r="170" spans="1:4">
      <c r="A170" s="10" t="s">
        <v>542</v>
      </c>
      <c r="B170" s="10" t="s">
        <v>541</v>
      </c>
      <c r="C170" s="10" t="s">
        <v>37</v>
      </c>
      <c r="D170" s="8" t="s">
        <v>14</v>
      </c>
    </row>
    <row r="171" spans="1:4">
      <c r="A171" s="9" t="s">
        <v>544</v>
      </c>
      <c r="B171" s="9" t="s">
        <v>543</v>
      </c>
      <c r="C171" s="9" t="s">
        <v>21</v>
      </c>
      <c r="D171" s="8" t="s">
        <v>14</v>
      </c>
    </row>
    <row r="172" spans="1:4">
      <c r="A172" s="9" t="s">
        <v>548</v>
      </c>
      <c r="B172" s="9" t="s">
        <v>547</v>
      </c>
      <c r="C172" s="9" t="s">
        <v>21</v>
      </c>
      <c r="D172" s="8" t="s">
        <v>14</v>
      </c>
    </row>
    <row r="173" spans="1:4">
      <c r="A173" s="7" t="s">
        <v>550</v>
      </c>
      <c r="B173" s="7" t="s">
        <v>549</v>
      </c>
      <c r="C173" s="7" t="s">
        <v>5</v>
      </c>
      <c r="D173" s="8" t="s">
        <v>14</v>
      </c>
    </row>
    <row r="174" spans="1:4">
      <c r="A174" s="7" t="s">
        <v>552</v>
      </c>
      <c r="B174" s="7" t="s">
        <v>551</v>
      </c>
      <c r="C174" s="7" t="s">
        <v>5</v>
      </c>
      <c r="D174" s="8" t="s">
        <v>14</v>
      </c>
    </row>
    <row r="175" spans="1:4">
      <c r="A175" s="9" t="s">
        <v>554</v>
      </c>
      <c r="B175" s="9" t="s">
        <v>553</v>
      </c>
      <c r="C175" s="9" t="s">
        <v>21</v>
      </c>
      <c r="D175" s="8" t="s">
        <v>14</v>
      </c>
    </row>
    <row r="176" spans="1:4">
      <c r="A176" s="10" t="s">
        <v>558</v>
      </c>
      <c r="B176" s="10" t="s">
        <v>556</v>
      </c>
      <c r="C176" s="10" t="s">
        <v>37</v>
      </c>
      <c r="D176" s="8" t="s">
        <v>14</v>
      </c>
    </row>
    <row r="177" spans="1:4">
      <c r="A177" s="9" t="s">
        <v>564</v>
      </c>
      <c r="B177" s="9" t="s">
        <v>563</v>
      </c>
      <c r="C177" s="9" t="s">
        <v>21</v>
      </c>
      <c r="D177" s="8" t="s">
        <v>14</v>
      </c>
    </row>
    <row r="178" spans="1:4">
      <c r="A178" s="9" t="s">
        <v>566</v>
      </c>
      <c r="B178" s="9" t="s">
        <v>565</v>
      </c>
      <c r="C178" s="9" t="s">
        <v>21</v>
      </c>
      <c r="D178" s="8" t="s">
        <v>14</v>
      </c>
    </row>
    <row r="179" spans="1:4">
      <c r="A179" s="7" t="s">
        <v>568</v>
      </c>
      <c r="B179" s="7" t="s">
        <v>567</v>
      </c>
      <c r="C179" s="7" t="s">
        <v>5</v>
      </c>
      <c r="D179" s="8" t="s">
        <v>14</v>
      </c>
    </row>
    <row r="180" spans="1:4">
      <c r="A180" s="9" t="s">
        <v>574</v>
      </c>
      <c r="B180" s="9" t="s">
        <v>629</v>
      </c>
      <c r="C180" s="9" t="s">
        <v>579</v>
      </c>
      <c r="D180" s="8" t="s">
        <v>6</v>
      </c>
    </row>
    <row r="181" spans="1:4">
      <c r="A181" s="9" t="s">
        <v>576</v>
      </c>
      <c r="B181" s="9" t="s">
        <v>630</v>
      </c>
      <c r="C181" s="9" t="s">
        <v>579</v>
      </c>
      <c r="D181" s="8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Meris Li</dc:creator>
  <cp:lastModifiedBy>Meris Li</cp:lastModifiedBy>
  <dcterms:created xsi:type="dcterms:W3CDTF">2026-09-24T14:23:13Z</dcterms:created>
  <dcterms:modified xsi:type="dcterms:W3CDTF">2026-10-04T03:37:26Z</dcterms:modified>
</cp:coreProperties>
</file>