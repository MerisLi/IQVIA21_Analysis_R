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IQVIA21_SQL/IQVIA21_Analysis/"/>
    </mc:Choice>
  </mc:AlternateContent>
  <xr:revisionPtr revIDLastSave="0" documentId="13_ncr:1_{5983A796-CABA-2941-B413-A9A56FFED5E6}" xr6:coauthVersionLast="47" xr6:coauthVersionMax="47" xr10:uidLastSave="{00000000-0000-0000-0000-000000000000}"/>
  <bookViews>
    <workbookView xWindow="11580" yWindow="3740" windowWidth="16120" windowHeight="16720" activeTab="3" xr2:uid="{7D789166-7FD4-FF4E-9E05-0DAA6FD18114}"/>
  </bookViews>
  <sheets>
    <sheet name="strength_NY" sheetId="2" r:id="rId1"/>
    <sheet name="strength_MA" sheetId="13" r:id="rId2"/>
    <sheet name="strength_TX" sheetId="15" r:id="rId3"/>
    <sheet name="quantity_amox" sheetId="3" r:id="rId4"/>
    <sheet name="quantity_cepha" sheetId="8" r:id="rId5"/>
    <sheet name="quantity_azith" sheetId="11" r:id="rId6"/>
    <sheet name="quantity_sulfTri" sheetId="12" r:id="rId7"/>
    <sheet name="sum" sheetId="16" r:id="rId8"/>
    <sheet name="ref" sheetId="10" r:id="rId9"/>
    <sheet name="states_ref" sheetId="18" r:id="rId10"/>
  </sheets>
  <definedNames>
    <definedName name="_xlnm._FilterDatabase" localSheetId="3" hidden="1">quantity_amox!$A$1:$H$69</definedName>
    <definedName name="_xlnm._FilterDatabase" localSheetId="5" hidden="1">quantity_azith!$A$1:$H$66</definedName>
    <definedName name="_xlnm._FilterDatabase" localSheetId="4" hidden="1">quantity_cepha!$A$1:$H$67</definedName>
    <definedName name="_xlnm._FilterDatabase" localSheetId="6" hidden="1">quantity_sulfTri!$A$1:$H$63</definedName>
    <definedName name="_xlnm._FilterDatabase" localSheetId="9" hidden="1">states_ref!$A$1:$D$62</definedName>
    <definedName name="_xlnm._FilterDatabase" localSheetId="1" hidden="1">strength_MA!$A$1:$H$99</definedName>
    <definedName name="_xlnm._FilterDatabase" localSheetId="0" hidden="1">strength_NY!$A$1:$H$98</definedName>
    <definedName name="_xlnm._FilterDatabase" localSheetId="2" hidden="1">strength_TX!$A$1:$H$1</definedName>
    <definedName name="_xlnm._FilterDatabase" localSheetId="7" hidden="1">sum!$A$1:$O$98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3" l="1"/>
  <c r="J27" i="16"/>
  <c r="J35" i="16"/>
  <c r="J7" i="16"/>
  <c r="J20" i="16"/>
  <c r="J2" i="16"/>
  <c r="J73" i="16"/>
  <c r="J37" i="16"/>
  <c r="J13" i="16"/>
  <c r="J61" i="16"/>
  <c r="J12" i="16"/>
  <c r="J28" i="16"/>
  <c r="J31" i="16"/>
  <c r="J33" i="16"/>
  <c r="J18" i="16"/>
  <c r="J8" i="16"/>
  <c r="J9" i="16"/>
  <c r="J10" i="16"/>
  <c r="J49" i="16"/>
  <c r="J11" i="16"/>
  <c r="J55" i="16"/>
  <c r="J14" i="16"/>
  <c r="J29" i="16"/>
  <c r="J15" i="16"/>
  <c r="J77" i="16"/>
  <c r="J44" i="16"/>
  <c r="J19" i="16"/>
  <c r="J51" i="16"/>
  <c r="J52" i="16"/>
  <c r="J53" i="16"/>
  <c r="J57" i="16"/>
  <c r="J21" i="16"/>
  <c r="J22" i="16"/>
  <c r="J23" i="16"/>
  <c r="J24" i="16"/>
  <c r="J25" i="16"/>
  <c r="J26" i="16"/>
  <c r="J69" i="16"/>
  <c r="J30" i="16"/>
  <c r="J71" i="16"/>
  <c r="J32" i="16"/>
  <c r="J81" i="16"/>
  <c r="J34" i="16"/>
  <c r="J83" i="16"/>
  <c r="J36" i="16"/>
  <c r="J86" i="16"/>
  <c r="J45" i="16"/>
  <c r="J46" i="16"/>
  <c r="J47" i="16"/>
  <c r="J48" i="16"/>
  <c r="J50" i="16"/>
  <c r="J54" i="16"/>
  <c r="J56" i="16"/>
  <c r="J58" i="16"/>
  <c r="J59" i="16"/>
  <c r="J60" i="16"/>
  <c r="J62" i="16"/>
  <c r="J63" i="16"/>
  <c r="J64" i="16"/>
  <c r="J65" i="16"/>
  <c r="J66" i="16"/>
  <c r="J67" i="16"/>
  <c r="J68" i="16"/>
  <c r="J70" i="16"/>
  <c r="J72" i="16"/>
  <c r="J74" i="16"/>
  <c r="J76" i="16"/>
  <c r="J78" i="16"/>
  <c r="J79" i="16"/>
  <c r="J80" i="16"/>
  <c r="J82" i="16"/>
  <c r="J84" i="16"/>
  <c r="J85" i="16"/>
  <c r="J87" i="16"/>
  <c r="J91" i="16"/>
  <c r="J92" i="16"/>
  <c r="J93" i="16"/>
  <c r="J4" i="16"/>
  <c r="J95" i="16"/>
  <c r="J97" i="16"/>
  <c r="J5" i="16"/>
  <c r="J6" i="16"/>
  <c r="J38" i="16"/>
  <c r="J88" i="16"/>
  <c r="J89" i="16"/>
  <c r="J90" i="16"/>
  <c r="J94" i="16"/>
  <c r="J96" i="16"/>
  <c r="J98" i="16"/>
  <c r="J39" i="16"/>
  <c r="J40" i="16"/>
  <c r="J16" i="16"/>
  <c r="J3" i="16"/>
  <c r="J17" i="16"/>
  <c r="J41" i="16"/>
  <c r="J42" i="16"/>
  <c r="J43" i="16"/>
  <c r="J75" i="16"/>
  <c r="E75" i="16"/>
  <c r="E43" i="16"/>
  <c r="K43" i="16" s="1"/>
  <c r="E95" i="16"/>
  <c r="E97" i="16"/>
  <c r="E5" i="16"/>
  <c r="E6" i="16"/>
  <c r="E38" i="16"/>
  <c r="E88" i="16"/>
  <c r="E89" i="16"/>
  <c r="E90" i="16"/>
  <c r="E94" i="16"/>
  <c r="E96" i="16"/>
  <c r="E98" i="16"/>
  <c r="E39" i="16"/>
  <c r="E40" i="16"/>
  <c r="E16" i="16"/>
  <c r="E3" i="16"/>
  <c r="E17" i="16"/>
  <c r="E41" i="16"/>
  <c r="E42" i="16"/>
  <c r="E67" i="16"/>
  <c r="E68" i="16"/>
  <c r="E70" i="16"/>
  <c r="E72" i="16"/>
  <c r="E74" i="16"/>
  <c r="E76" i="16"/>
  <c r="E78" i="16"/>
  <c r="E79" i="16"/>
  <c r="E80" i="16"/>
  <c r="E82" i="16"/>
  <c r="E84" i="16"/>
  <c r="E85" i="16"/>
  <c r="E87" i="16"/>
  <c r="E91" i="16"/>
  <c r="E92" i="16"/>
  <c r="E93" i="16"/>
  <c r="E4" i="16"/>
  <c r="K4" i="16" s="1"/>
  <c r="E86" i="16"/>
  <c r="E45" i="16"/>
  <c r="E46" i="16"/>
  <c r="E47" i="16"/>
  <c r="E48" i="16"/>
  <c r="E50" i="16"/>
  <c r="E54" i="16"/>
  <c r="E56" i="16"/>
  <c r="E58" i="16"/>
  <c r="E59" i="16"/>
  <c r="E60" i="16"/>
  <c r="E62" i="16"/>
  <c r="E63" i="16"/>
  <c r="K63" i="16" s="1"/>
  <c r="E64" i="16"/>
  <c r="E65" i="16"/>
  <c r="K65" i="16" s="1"/>
  <c r="E66" i="16"/>
  <c r="K66" i="16" s="1"/>
  <c r="E53" i="16"/>
  <c r="E57" i="16"/>
  <c r="E21" i="16"/>
  <c r="E22" i="16"/>
  <c r="E23" i="16"/>
  <c r="E24" i="16"/>
  <c r="E25" i="16"/>
  <c r="E26" i="16"/>
  <c r="E69" i="16"/>
  <c r="E30" i="16"/>
  <c r="E71" i="16"/>
  <c r="E32" i="16"/>
  <c r="E81" i="16"/>
  <c r="E34" i="16"/>
  <c r="E83" i="16"/>
  <c r="E36" i="16"/>
  <c r="E18" i="16"/>
  <c r="E8" i="16"/>
  <c r="E9" i="16"/>
  <c r="E10" i="16"/>
  <c r="E49" i="16"/>
  <c r="E11" i="16"/>
  <c r="E55" i="16"/>
  <c r="E14" i="16"/>
  <c r="K14" i="16" s="1"/>
  <c r="E29" i="16"/>
  <c r="K29" i="16" s="1"/>
  <c r="E15" i="16"/>
  <c r="K15" i="16" s="1"/>
  <c r="E77" i="16"/>
  <c r="K77" i="16" s="1"/>
  <c r="E44" i="16"/>
  <c r="K44" i="16" s="1"/>
  <c r="E19" i="16"/>
  <c r="E51" i="16"/>
  <c r="E52" i="16"/>
  <c r="E7" i="16"/>
  <c r="K7" i="16" s="1"/>
  <c r="E20" i="16"/>
  <c r="K20" i="16" s="1"/>
  <c r="E2" i="16"/>
  <c r="K2" i="16" s="1"/>
  <c r="E73" i="16"/>
  <c r="K73" i="16" s="1"/>
  <c r="E37" i="16"/>
  <c r="K37" i="16" s="1"/>
  <c r="E13" i="16"/>
  <c r="E61" i="16"/>
  <c r="K61" i="16" s="1"/>
  <c r="E12" i="16"/>
  <c r="K12" i="16" s="1"/>
  <c r="E28" i="16"/>
  <c r="K28" i="16" s="1"/>
  <c r="E31" i="16"/>
  <c r="K31" i="16" s="1"/>
  <c r="E33" i="16"/>
  <c r="K33" i="16" s="1"/>
  <c r="E27" i="16"/>
  <c r="K27" i="16" s="1"/>
  <c r="E35" i="16"/>
  <c r="K35" i="16" s="1"/>
  <c r="H66" i="8"/>
  <c r="H64" i="8"/>
  <c r="H60" i="8"/>
  <c r="H43" i="8"/>
  <c r="H40" i="8"/>
  <c r="H24" i="8"/>
  <c r="H16" i="8"/>
  <c r="H15" i="8"/>
  <c r="H13" i="8"/>
  <c r="H12" i="8"/>
  <c r="H11" i="8"/>
  <c r="H10" i="8"/>
  <c r="H6" i="8"/>
  <c r="H5" i="8"/>
  <c r="H4" i="8"/>
  <c r="H2" i="8"/>
  <c r="H5" i="3"/>
  <c r="H69" i="3"/>
  <c r="H2" i="3"/>
  <c r="H15" i="3"/>
  <c r="H3" i="3"/>
  <c r="H40" i="3"/>
  <c r="H24" i="3"/>
  <c r="H27" i="3"/>
  <c r="H14" i="3"/>
  <c r="H25" i="3"/>
  <c r="H12" i="3"/>
  <c r="H35" i="3"/>
  <c r="H17" i="3"/>
  <c r="H31" i="3"/>
  <c r="H9" i="3"/>
  <c r="H32" i="3"/>
  <c r="H37" i="3"/>
  <c r="H21" i="3"/>
  <c r="H29" i="3"/>
  <c r="H16" i="3"/>
  <c r="H7" i="3"/>
  <c r="H11" i="3"/>
  <c r="H55" i="3"/>
  <c r="H4" i="3"/>
  <c r="C12" i="15"/>
  <c r="H12" i="15" s="1"/>
  <c r="C91" i="15"/>
  <c r="C86" i="15"/>
  <c r="H86" i="15" s="1"/>
  <c r="C2" i="15"/>
  <c r="C98" i="15"/>
  <c r="C97" i="15"/>
  <c r="C99" i="15"/>
  <c r="C96" i="15"/>
  <c r="C5" i="15"/>
  <c r="C3" i="15"/>
  <c r="C6" i="15"/>
  <c r="C51" i="15"/>
  <c r="C65" i="15"/>
  <c r="C17" i="15"/>
  <c r="C39" i="15"/>
  <c r="C81" i="15"/>
  <c r="H81" i="15" s="1"/>
  <c r="C30" i="15"/>
  <c r="C28" i="15"/>
  <c r="C64" i="15"/>
  <c r="C48" i="15"/>
  <c r="C76" i="15"/>
  <c r="C43" i="15"/>
  <c r="C14" i="15"/>
  <c r="C45" i="15"/>
  <c r="C53" i="15"/>
  <c r="C77" i="15"/>
  <c r="C26" i="15"/>
  <c r="C29" i="15"/>
  <c r="C54" i="15"/>
  <c r="C88" i="15"/>
  <c r="C46" i="15"/>
  <c r="C21" i="15"/>
  <c r="C73" i="15"/>
  <c r="C68" i="15"/>
  <c r="C11" i="15"/>
  <c r="C69" i="15"/>
  <c r="C32" i="15"/>
  <c r="C33" i="15"/>
  <c r="C20" i="15"/>
  <c r="C18" i="15"/>
  <c r="H18" i="15" s="1"/>
  <c r="C31" i="15"/>
  <c r="C36" i="15"/>
  <c r="C22" i="15"/>
  <c r="C19" i="15"/>
  <c r="C63" i="15"/>
  <c r="C50" i="15"/>
  <c r="C49" i="15"/>
  <c r="C15" i="15"/>
  <c r="C75" i="15"/>
  <c r="C59" i="15"/>
  <c r="C9" i="15"/>
  <c r="C25" i="15"/>
  <c r="C38" i="15"/>
  <c r="C40" i="15"/>
  <c r="C35" i="15"/>
  <c r="C61" i="15"/>
  <c r="C42" i="15"/>
  <c r="C23" i="15"/>
  <c r="C72" i="15"/>
  <c r="C66" i="15"/>
  <c r="C47" i="15"/>
  <c r="C24" i="15"/>
  <c r="C57" i="15"/>
  <c r="C67" i="15"/>
  <c r="C55" i="15"/>
  <c r="C34" i="15"/>
  <c r="C74" i="15"/>
  <c r="C94" i="15"/>
  <c r="C95" i="15"/>
  <c r="C4" i="15"/>
  <c r="C78" i="15"/>
  <c r="H78" i="15" s="1"/>
  <c r="C83" i="15"/>
  <c r="H83" i="15" s="1"/>
  <c r="C85" i="15"/>
  <c r="H85" i="15" s="1"/>
  <c r="C13" i="15"/>
  <c r="C7" i="15"/>
  <c r="H7" i="15" s="1"/>
  <c r="C84" i="15"/>
  <c r="H84" i="15" s="1"/>
  <c r="C93" i="15"/>
  <c r="C82" i="15"/>
  <c r="H82" i="15" s="1"/>
  <c r="C92" i="15"/>
  <c r="C10" i="15"/>
  <c r="H10" i="15" s="1"/>
  <c r="C16" i="15"/>
  <c r="H16" i="15" s="1"/>
  <c r="C52" i="15"/>
  <c r="C79" i="15"/>
  <c r="H79" i="15" s="1"/>
  <c r="C27" i="15"/>
  <c r="C60" i="15"/>
  <c r="C41" i="15"/>
  <c r="C70" i="15"/>
  <c r="C56" i="15"/>
  <c r="C71" i="15"/>
  <c r="C89" i="15"/>
  <c r="C80" i="15"/>
  <c r="H80" i="15" s="1"/>
  <c r="C90" i="15"/>
  <c r="C58" i="15"/>
  <c r="C44" i="15"/>
  <c r="C37" i="15"/>
  <c r="C8" i="15"/>
  <c r="H8" i="15" s="1"/>
  <c r="C87" i="15"/>
  <c r="C62" i="15"/>
  <c r="C81" i="13"/>
  <c r="C76" i="13"/>
  <c r="C77" i="13"/>
  <c r="C78" i="13"/>
  <c r="C79" i="13"/>
  <c r="C80" i="13"/>
  <c r="H80" i="13" s="1"/>
  <c r="C82" i="13"/>
  <c r="C83" i="13"/>
  <c r="C84" i="13"/>
  <c r="C85" i="13"/>
  <c r="C86" i="13"/>
  <c r="C87" i="13"/>
  <c r="C88" i="13"/>
  <c r="C89" i="13"/>
  <c r="C56" i="13"/>
  <c r="C95" i="13"/>
  <c r="C57" i="13"/>
  <c r="C58" i="13"/>
  <c r="C59" i="13"/>
  <c r="C60" i="13"/>
  <c r="C61" i="13"/>
  <c r="C96" i="13"/>
  <c r="C62" i="13"/>
  <c r="H62" i="13" s="1"/>
  <c r="C97" i="13"/>
  <c r="C63" i="13"/>
  <c r="C64" i="13"/>
  <c r="C65" i="13"/>
  <c r="C66" i="13"/>
  <c r="C67" i="13"/>
  <c r="C98" i="13"/>
  <c r="C68" i="13"/>
  <c r="C69" i="13"/>
  <c r="C70" i="13"/>
  <c r="C71" i="13"/>
  <c r="C99" i="13"/>
  <c r="C72" i="13"/>
  <c r="C73" i="13"/>
  <c r="C74" i="13"/>
  <c r="C75" i="13"/>
  <c r="C48" i="13"/>
  <c r="H48" i="13" s="1"/>
  <c r="C49" i="13"/>
  <c r="C50" i="13"/>
  <c r="C91" i="13"/>
  <c r="C51" i="13"/>
  <c r="C52" i="13"/>
  <c r="C92" i="13"/>
  <c r="C93" i="13"/>
  <c r="C94" i="13"/>
  <c r="C53" i="13"/>
  <c r="C54" i="13"/>
  <c r="C55" i="13"/>
  <c r="C36" i="13"/>
  <c r="C37" i="13"/>
  <c r="C38" i="13"/>
  <c r="C39" i="13"/>
  <c r="C90" i="13"/>
  <c r="C40" i="13"/>
  <c r="C41" i="13"/>
  <c r="C42" i="13"/>
  <c r="C43" i="13"/>
  <c r="C44" i="13"/>
  <c r="C45" i="13"/>
  <c r="C46" i="13"/>
  <c r="C47" i="13"/>
  <c r="C34" i="13"/>
  <c r="C3" i="13"/>
  <c r="C4" i="13"/>
  <c r="C5" i="13"/>
  <c r="C6" i="13"/>
  <c r="H6" i="13" s="1"/>
  <c r="C7" i="13"/>
  <c r="H7" i="13" s="1"/>
  <c r="C8" i="13"/>
  <c r="H8" i="13" s="1"/>
  <c r="C9" i="13"/>
  <c r="C10" i="13"/>
  <c r="H10" i="13" s="1"/>
  <c r="C11" i="13"/>
  <c r="H11" i="13" s="1"/>
  <c r="C12" i="13"/>
  <c r="C13" i="13"/>
  <c r="H13" i="13" s="1"/>
  <c r="C14" i="13"/>
  <c r="C15" i="13"/>
  <c r="H15" i="13" s="1"/>
  <c r="C16" i="13"/>
  <c r="H16" i="13" s="1"/>
  <c r="C17" i="13"/>
  <c r="C18" i="13"/>
  <c r="H18" i="13" s="1"/>
  <c r="C19" i="13"/>
  <c r="C20" i="13"/>
  <c r="C21" i="13"/>
  <c r="C22" i="13"/>
  <c r="C23" i="13"/>
  <c r="C24" i="13"/>
  <c r="C25" i="13"/>
  <c r="C26" i="13"/>
  <c r="H26" i="13" s="1"/>
  <c r="C27" i="13"/>
  <c r="C28" i="13"/>
  <c r="C29" i="13"/>
  <c r="C30" i="13"/>
  <c r="C31" i="13"/>
  <c r="H31" i="13" s="1"/>
  <c r="C32" i="13"/>
  <c r="C33" i="13"/>
  <c r="C35" i="13"/>
  <c r="C2" i="13"/>
  <c r="H2" i="13" s="1"/>
  <c r="C7" i="2"/>
  <c r="C82" i="2"/>
  <c r="C27" i="2"/>
  <c r="H27" i="2" s="1"/>
  <c r="C28" i="2"/>
  <c r="C83" i="2"/>
  <c r="C29" i="2"/>
  <c r="C84" i="2"/>
  <c r="C30" i="2"/>
  <c r="C85" i="2"/>
  <c r="C86" i="2"/>
  <c r="C87" i="2"/>
  <c r="C88" i="2"/>
  <c r="C89" i="2"/>
  <c r="C90" i="2"/>
  <c r="C91" i="2"/>
  <c r="C31" i="2"/>
  <c r="H31" i="2" s="1"/>
  <c r="C92" i="2"/>
  <c r="C93" i="2"/>
  <c r="C11" i="2"/>
  <c r="H11" i="2" s="1"/>
  <c r="C37" i="2"/>
  <c r="C38" i="2"/>
  <c r="C12" i="2"/>
  <c r="C13" i="2"/>
  <c r="C14" i="2"/>
  <c r="C39" i="2"/>
  <c r="C3" i="2"/>
  <c r="C4" i="2"/>
  <c r="C64" i="2"/>
  <c r="C20" i="2"/>
  <c r="H20" i="2" s="1"/>
  <c r="C65" i="2"/>
  <c r="C66" i="2"/>
  <c r="C67" i="2"/>
  <c r="C68" i="2"/>
  <c r="C21" i="2"/>
  <c r="C69" i="2"/>
  <c r="C70" i="2"/>
  <c r="C71" i="2"/>
  <c r="C72" i="2"/>
  <c r="C73" i="2"/>
  <c r="C22" i="2"/>
  <c r="H22" i="2" s="1"/>
  <c r="C74" i="2"/>
  <c r="C75" i="2"/>
  <c r="C76" i="2"/>
  <c r="C77" i="2"/>
  <c r="C23" i="2"/>
  <c r="C78" i="2"/>
  <c r="C24" i="2"/>
  <c r="H24" i="2" s="1"/>
  <c r="C79" i="2"/>
  <c r="C80" i="2"/>
  <c r="C25" i="2"/>
  <c r="H25" i="2" s="1"/>
  <c r="C81" i="2"/>
  <c r="C26" i="2"/>
  <c r="H26" i="2" s="1"/>
  <c r="C46" i="2"/>
  <c r="C47" i="2"/>
  <c r="C48" i="2"/>
  <c r="C6" i="2"/>
  <c r="H6" i="2" s="1"/>
  <c r="C49" i="2"/>
  <c r="C50" i="2"/>
  <c r="C51" i="2"/>
  <c r="C52" i="2"/>
  <c r="C19" i="2"/>
  <c r="C53" i="2"/>
  <c r="C54" i="2"/>
  <c r="C55" i="2"/>
  <c r="C56" i="2"/>
  <c r="C57" i="2"/>
  <c r="C58" i="2"/>
  <c r="C59" i="2"/>
  <c r="C60" i="2"/>
  <c r="C61" i="2"/>
  <c r="C62" i="2"/>
  <c r="C63" i="2"/>
  <c r="C94" i="2"/>
  <c r="C95" i="2"/>
  <c r="C32" i="2"/>
  <c r="H32" i="2" s="1"/>
  <c r="C33" i="2"/>
  <c r="H33" i="2" s="1"/>
  <c r="C34" i="2"/>
  <c r="H34" i="2" s="1"/>
  <c r="C96" i="2"/>
  <c r="C8" i="2"/>
  <c r="H8" i="2" s="1"/>
  <c r="C35" i="2"/>
  <c r="H35" i="2" s="1"/>
  <c r="C97" i="2"/>
  <c r="C36" i="2"/>
  <c r="H36" i="2" s="1"/>
  <c r="C98" i="2"/>
  <c r="C9" i="2"/>
  <c r="H9" i="2" s="1"/>
  <c r="C10" i="2"/>
  <c r="H10" i="2" s="1"/>
  <c r="C40" i="2"/>
  <c r="C15" i="2"/>
  <c r="H15" i="2" s="1"/>
  <c r="C41" i="2"/>
  <c r="C16" i="2"/>
  <c r="C5" i="2"/>
  <c r="C42" i="2"/>
  <c r="C17" i="2"/>
  <c r="C43" i="2"/>
  <c r="C44" i="2"/>
  <c r="C18" i="2"/>
  <c r="H18" i="2" s="1"/>
  <c r="C45" i="2"/>
  <c r="C2" i="2"/>
  <c r="H2" i="2" s="1"/>
  <c r="C46" i="12"/>
  <c r="C47" i="12"/>
  <c r="C48" i="12"/>
  <c r="C49" i="12"/>
  <c r="C50" i="12"/>
  <c r="H50" i="12" s="1"/>
  <c r="C51" i="12"/>
  <c r="C52" i="12"/>
  <c r="C53" i="12"/>
  <c r="C54" i="12"/>
  <c r="H54" i="12" s="1"/>
  <c r="C55" i="12"/>
  <c r="H55" i="12" s="1"/>
  <c r="C56" i="12"/>
  <c r="C57" i="12"/>
  <c r="C58" i="12"/>
  <c r="C59" i="12"/>
  <c r="C60" i="12"/>
  <c r="C61" i="12"/>
  <c r="H61" i="12" s="1"/>
  <c r="C62" i="12"/>
  <c r="C63" i="12"/>
  <c r="H63" i="12" s="1"/>
  <c r="C30" i="12"/>
  <c r="H30" i="12" s="1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H43" i="12" s="1"/>
  <c r="C44" i="12"/>
  <c r="C45" i="12"/>
  <c r="C7" i="12"/>
  <c r="H7" i="12" s="1"/>
  <c r="C8" i="12"/>
  <c r="C9" i="12"/>
  <c r="H9" i="12" s="1"/>
  <c r="C10" i="12"/>
  <c r="C11" i="12"/>
  <c r="C12" i="12"/>
  <c r="C13" i="12"/>
  <c r="C14" i="12"/>
  <c r="C15" i="12"/>
  <c r="C16" i="12"/>
  <c r="C17" i="12"/>
  <c r="C18" i="12"/>
  <c r="C19" i="12"/>
  <c r="C20" i="12"/>
  <c r="C21" i="12"/>
  <c r="H21" i="12" s="1"/>
  <c r="C22" i="12"/>
  <c r="C23" i="12"/>
  <c r="H23" i="12" s="1"/>
  <c r="C24" i="12"/>
  <c r="C25" i="12"/>
  <c r="C26" i="12"/>
  <c r="C27" i="12"/>
  <c r="C28" i="12"/>
  <c r="H28" i="12" s="1"/>
  <c r="C29" i="12"/>
  <c r="C3" i="12"/>
  <c r="C4" i="12"/>
  <c r="H4" i="12" s="1"/>
  <c r="C5" i="12"/>
  <c r="H5" i="12" s="1"/>
  <c r="C6" i="12"/>
  <c r="C2" i="12"/>
  <c r="H2" i="12" s="1"/>
  <c r="C3" i="11"/>
  <c r="H3" i="11" s="1"/>
  <c r="C4" i="11"/>
  <c r="C5" i="11"/>
  <c r="C6" i="11"/>
  <c r="C7" i="11"/>
  <c r="C8" i="11"/>
  <c r="C9" i="11"/>
  <c r="H9" i="11" s="1"/>
  <c r="C10" i="11"/>
  <c r="H10" i="11" s="1"/>
  <c r="C11" i="11"/>
  <c r="C12" i="11"/>
  <c r="H12" i="11" s="1"/>
  <c r="C13" i="11"/>
  <c r="H13" i="11" s="1"/>
  <c r="C14" i="11"/>
  <c r="C15" i="11"/>
  <c r="H15" i="11" s="1"/>
  <c r="C16" i="11"/>
  <c r="H16" i="11" s="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H37" i="11" s="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H65" i="11" s="1"/>
  <c r="C66" i="11"/>
  <c r="H66" i="11" s="1"/>
  <c r="C2" i="11"/>
  <c r="H2" i="11" s="1"/>
  <c r="K75" i="16" l="1"/>
  <c r="K83" i="16"/>
  <c r="K53" i="16"/>
  <c r="K57" i="16"/>
  <c r="K21" i="16"/>
  <c r="K22" i="16"/>
  <c r="K23" i="16"/>
  <c r="K24" i="16"/>
  <c r="K95" i="16"/>
  <c r="K97" i="16"/>
  <c r="K5" i="16"/>
  <c r="K91" i="16"/>
  <c r="K92" i="16"/>
  <c r="K93" i="16"/>
  <c r="K19" i="16"/>
  <c r="K51" i="16"/>
  <c r="K52" i="16"/>
  <c r="K67" i="16"/>
  <c r="K68" i="16"/>
  <c r="K70" i="16"/>
  <c r="K72" i="16"/>
  <c r="K74" i="16"/>
  <c r="K76" i="16"/>
  <c r="K78" i="16"/>
  <c r="K79" i="16"/>
  <c r="K80" i="16"/>
  <c r="K82" i="16"/>
  <c r="K84" i="16"/>
  <c r="K85" i="16"/>
  <c r="K87" i="16"/>
  <c r="K86" i="16"/>
  <c r="K45" i="16"/>
  <c r="K46" i="16"/>
  <c r="K47" i="16"/>
  <c r="K48" i="16"/>
  <c r="K50" i="16"/>
  <c r="K54" i="16"/>
  <c r="K56" i="16"/>
  <c r="K58" i="16"/>
  <c r="K59" i="16"/>
  <c r="K60" i="16"/>
  <c r="K62" i="16"/>
  <c r="K64" i="16"/>
  <c r="K36" i="16"/>
  <c r="K18" i="16"/>
  <c r="K8" i="16"/>
  <c r="K9" i="16"/>
  <c r="K10" i="16"/>
  <c r="K49" i="16"/>
  <c r="K11" i="16"/>
  <c r="K55" i="16"/>
  <c r="K13" i="16"/>
  <c r="K6" i="16"/>
  <c r="K38" i="16"/>
  <c r="K88" i="16"/>
  <c r="K89" i="16"/>
  <c r="K90" i="16"/>
  <c r="K94" i="16"/>
  <c r="K96" i="16"/>
  <c r="K98" i="16"/>
  <c r="K39" i="16"/>
  <c r="K40" i="16"/>
  <c r="K16" i="16"/>
  <c r="K3" i="16"/>
  <c r="K17" i="16"/>
  <c r="K41" i="16"/>
  <c r="K42" i="16"/>
  <c r="K25" i="16"/>
  <c r="K26" i="16"/>
  <c r="K69" i="16"/>
  <c r="K30" i="16"/>
  <c r="K71" i="16"/>
  <c r="K32" i="16"/>
  <c r="K81" i="16"/>
  <c r="K34" i="16"/>
  <c r="H51" i="15"/>
  <c r="H53" i="15"/>
  <c r="H31" i="15"/>
</calcChain>
</file>

<file path=xl/sharedStrings.xml><?xml version="1.0" encoding="utf-8"?>
<sst xmlns="http://schemas.openxmlformats.org/spreadsheetml/2006/main" count="1184" uniqueCount="276">
  <si>
    <t>Estimate</t>
    <phoneticPr fontId="1" type="noConversion"/>
  </si>
  <si>
    <t>Coefficients</t>
  </si>
  <si>
    <t>Std. Error</t>
  </si>
  <si>
    <t>z value</t>
  </si>
  <si>
    <t>unifm_prod_nmAMOXICILLIN &amp; POT CLAVULANATE</t>
  </si>
  <si>
    <t>unifm_prod_nmAZITHROMYCIN</t>
  </si>
  <si>
    <t>unifm_prod_nmCEFDINIR</t>
  </si>
  <si>
    <t>unifm_prod_nmCEFUROXIME AXETIL</t>
  </si>
  <si>
    <t>unifm_prod_nmCEPHALEXIN</t>
  </si>
  <si>
    <t>unifm_prod_nmCIPROFLOXACIN HCL</t>
  </si>
  <si>
    <t>unifm_prod_nmCLARITHROMYCIN</t>
  </si>
  <si>
    <t>unifm_prod_nmCLINDAMYCIN HCL</t>
  </si>
  <si>
    <t>unifm_prod_nmDOXYCYCLINE (MONOHYDRATE)</t>
  </si>
  <si>
    <t>unifm_prod_nmDOXYCYCLINE HYCLATE</t>
  </si>
  <si>
    <t>unifm_prod_nmLEVOFLOXACIN</t>
  </si>
  <si>
    <t>unifm_prod_nmMINOCYCLINE HCL</t>
  </si>
  <si>
    <t>unifm_prod_nmPENICILLIN V POTASSIUM</t>
  </si>
  <si>
    <t>unifm_prod_nmSULFAMETHOXAZOLE-TRIMETHOPRIM</t>
  </si>
  <si>
    <t>pri_spcl_descDENTIST</t>
  </si>
  <si>
    <t>pri_spcl_descDERMATOLOGY</t>
  </si>
  <si>
    <t>pri_spcl_descEMERGENCY MEDICINE</t>
  </si>
  <si>
    <t>pri_spcl_descFAMILY MEDICINE</t>
  </si>
  <si>
    <t>pri_spcl_descGENERAL PRACTICE</t>
  </si>
  <si>
    <t>pri_spcl_descINTERNAL MEDICINE</t>
  </si>
  <si>
    <t>pri_spcl_descOBSTETRICS &amp; GYNECOLOGY</t>
  </si>
  <si>
    <t>pri_spcl_descOPHTHALMOLOGY</t>
  </si>
  <si>
    <t>pri_spcl_descORAL &amp; MAXILLOFACIAL SURGERY</t>
  </si>
  <si>
    <t>pri_spcl_descORTHOPEDIC SURGERY</t>
  </si>
  <si>
    <t>pri_spcl_descOTOLARYNGOLOGY</t>
  </si>
  <si>
    <t>pri_spcl_descPEDIATRICS</t>
  </si>
  <si>
    <t>pri_spcl_descPHYSICIAN ASSISTANT</t>
  </si>
  <si>
    <t>pri_spcl_descPLASTIC SURGERY</t>
  </si>
  <si>
    <t>pri_spcl_descPODIATRIST</t>
  </si>
  <si>
    <t>pri_spcl_descPULMONARY DISEASE</t>
  </si>
  <si>
    <t>pri_spcl_descUROLOGY</t>
  </si>
  <si>
    <t>provider_st_cdAE</t>
  </si>
  <si>
    <t>provider_st_cdAK</t>
  </si>
  <si>
    <t>provider_st_cdAL</t>
  </si>
  <si>
    <t>provider_st_cdAP</t>
  </si>
  <si>
    <t>provider_st_cdAR</t>
  </si>
  <si>
    <t>provider_st_cdAZ</t>
  </si>
  <si>
    <t>provider_st_cdCA</t>
  </si>
  <si>
    <t>provider_st_cdCO</t>
  </si>
  <si>
    <t>provider_st_cdCT</t>
  </si>
  <si>
    <t>provider_st_cdDC</t>
  </si>
  <si>
    <t>provider_st_cdDE</t>
  </si>
  <si>
    <t>provider_st_cdFL</t>
  </si>
  <si>
    <t>provider_st_cdGA</t>
  </si>
  <si>
    <t>provider_st_cdGU</t>
  </si>
  <si>
    <t>provider_st_cdHI</t>
  </si>
  <si>
    <t>provider_st_cdIA</t>
  </si>
  <si>
    <t>provider_st_cdID</t>
  </si>
  <si>
    <t>provider_st_cdIL</t>
  </si>
  <si>
    <t>provider_st_cdIN</t>
  </si>
  <si>
    <t>provider_st_cdKS</t>
  </si>
  <si>
    <t>provider_st_cdKY</t>
  </si>
  <si>
    <t>provider_st_cdLA</t>
  </si>
  <si>
    <t>provider_st_cdMA</t>
  </si>
  <si>
    <t>provider_st_cdMD</t>
  </si>
  <si>
    <t>provider_st_cdME</t>
  </si>
  <si>
    <t>provider_st_cdMI</t>
  </si>
  <si>
    <t>provider_st_cdMN</t>
  </si>
  <si>
    <t>provider_st_cdMO</t>
  </si>
  <si>
    <t>provider_st_cdMS</t>
  </si>
  <si>
    <t>provider_st_cdMT</t>
  </si>
  <si>
    <t>provider_st_cdNC</t>
  </si>
  <si>
    <t>provider_st_cdND</t>
  </si>
  <si>
    <t>provider_st_cdNE</t>
  </si>
  <si>
    <t>provider_st_cdNH</t>
  </si>
  <si>
    <t>provider_st_cdNJ</t>
  </si>
  <si>
    <t>provider_st_cdNM</t>
  </si>
  <si>
    <t>provider_st_cdNV</t>
  </si>
  <si>
    <t>provider_st_cdOH</t>
  </si>
  <si>
    <t>provider_st_cdOK</t>
  </si>
  <si>
    <t>provider_st_cdOR</t>
  </si>
  <si>
    <t>provider_st_cdPA</t>
  </si>
  <si>
    <t>provider_st_cdPR</t>
  </si>
  <si>
    <t>provider_st_cdRI</t>
  </si>
  <si>
    <t>provider_st_cdSC</t>
  </si>
  <si>
    <t>provider_st_cdSD</t>
  </si>
  <si>
    <t>provider_st_cdTN</t>
  </si>
  <si>
    <t>provider_st_cdTX</t>
  </si>
  <si>
    <t>provider_st_cdUT</t>
  </si>
  <si>
    <t>provider_st_cdVA</t>
  </si>
  <si>
    <t>provider_st_cdVI</t>
  </si>
  <si>
    <t>provider_st_cdVT</t>
  </si>
  <si>
    <t>provider_st_cdWA</t>
  </si>
  <si>
    <t>provider_st_cdWI</t>
  </si>
  <si>
    <t>provider_st_cdWV</t>
  </si>
  <si>
    <t>provider_st_cdWY</t>
  </si>
  <si>
    <t>dosage_form_nmCAPSULE</t>
  </si>
  <si>
    <t>dosage_form_nmPACK</t>
  </si>
  <si>
    <t>dosage_form_nmSOLUTION RECONSTITUTED</t>
  </si>
  <si>
    <t>dosage_form_nmSUSPENSION</t>
  </si>
  <si>
    <t>dosage_form_nmSUSPENSION RECONSTITUTED</t>
  </si>
  <si>
    <t>dosage_form_nmTABLET CHEW</t>
  </si>
  <si>
    <t>dosage_form_nmTABLET ENTERICCOATED</t>
  </si>
  <si>
    <t>dosage_form_nmTABLET SR 12 HR</t>
  </si>
  <si>
    <t>dosage_form_nmTABLET SR 24 HR</t>
  </si>
  <si>
    <t>Pr(&gt;|z|)</t>
  </si>
  <si>
    <t>(Intercept)</t>
    <phoneticPr fontId="1" type="noConversion"/>
  </si>
  <si>
    <t>pat_age_nbr</t>
    <phoneticPr fontId="1" type="noConversion"/>
  </si>
  <si>
    <t>&lt; 2e-16</t>
  </si>
  <si>
    <t>***</t>
  </si>
  <si>
    <t>*</t>
    <phoneticPr fontId="1" type="noConversion"/>
  </si>
  <si>
    <t>Significance</t>
    <phoneticPr fontId="1" type="noConversion"/>
  </si>
  <si>
    <t>Estimate</t>
  </si>
  <si>
    <t>(Intercept)</t>
  </si>
  <si>
    <t>pat_age_nbr</t>
  </si>
  <si>
    <t>dosage_form_nmTABLET</t>
  </si>
  <si>
    <t>.</t>
  </si>
  <si>
    <t>**</t>
  </si>
  <si>
    <t>*</t>
  </si>
  <si>
    <t>exp(estimate)</t>
  </si>
  <si>
    <t>Significance</t>
  </si>
  <si>
    <t>t value</t>
    <phoneticPr fontId="1" type="noConversion"/>
  </si>
  <si>
    <t>Cephalosporins</t>
  </si>
  <si>
    <t>Cephalexin</t>
  </si>
  <si>
    <t>Fluoroquinolones</t>
  </si>
  <si>
    <t>Ciprofloxacin HCl</t>
  </si>
  <si>
    <t>Macrolides</t>
  </si>
  <si>
    <t>Azithromycin</t>
  </si>
  <si>
    <t>Penicillins</t>
  </si>
  <si>
    <t>Amoxicillin</t>
  </si>
  <si>
    <t>Vancomycin</t>
  </si>
  <si>
    <t>Sulfonamides</t>
  </si>
  <si>
    <t>Sulfamethoxazole &amp; Trimethoprim</t>
  </si>
  <si>
    <t>&lt;2e-16</t>
  </si>
  <si>
    <t>4.854 1</t>
  </si>
  <si>
    <t>OR</t>
    <phoneticPr fontId="1" type="noConversion"/>
  </si>
  <si>
    <t>dosage_form_nmTABLET SR 24 HR               1.788e+01  1.801e+03   0.010</t>
  </si>
  <si>
    <t>provider_st_cdNY</t>
  </si>
  <si>
    <t xml:space="preserve">dosage_form_nmTABLET SR 24 HR               1.788e+01  1.801e+03   0.010   0.9921  </t>
  </si>
  <si>
    <t>is_sig</t>
  </si>
  <si>
    <t>is_sig</t>
    <phoneticPr fontId="1" type="noConversion"/>
  </si>
  <si>
    <t>strength_NY</t>
    <phoneticPr fontId="1" type="noConversion"/>
  </si>
  <si>
    <t>strength_TX</t>
    <phoneticPr fontId="1" type="noConversion"/>
  </si>
  <si>
    <t>quant_amox</t>
    <phoneticPr fontId="1" type="noConversion"/>
  </si>
  <si>
    <t>quant_cepha</t>
    <phoneticPr fontId="1" type="noConversion"/>
  </si>
  <si>
    <t>quant_azith</t>
    <phoneticPr fontId="1" type="noConversion"/>
  </si>
  <si>
    <t>quant_sulfTri</t>
    <phoneticPr fontId="1" type="noConversion"/>
  </si>
  <si>
    <t>strength_MA</t>
    <phoneticPr fontId="1" type="noConversion"/>
  </si>
  <si>
    <t>provider_st_cdNY</t>
    <phoneticPr fontId="1" type="noConversion"/>
  </si>
  <si>
    <t>strength_sum</t>
    <phoneticPr fontId="1" type="noConversion"/>
  </si>
  <si>
    <t>quant_sum</t>
    <phoneticPr fontId="1" type="noConversion"/>
  </si>
  <si>
    <t>sum</t>
    <phoneticPr fontId="1" type="noConversion"/>
  </si>
  <si>
    <t>Notes</t>
    <phoneticPr fontId="1" type="noConversion"/>
  </si>
  <si>
    <t>Mountain; higher quantity OR if compared w/ NY</t>
    <phoneticPr fontId="1" type="noConversion"/>
  </si>
  <si>
    <t>Mid-Atlantic; higher quantity OR if compared w/ NY</t>
    <phoneticPr fontId="1" type="noConversion"/>
  </si>
  <si>
    <t>Midwest; higher quantity OR if compared w/ NY</t>
    <phoneticPr fontId="1" type="noConversion"/>
  </si>
  <si>
    <t>Southeast; higher quantity OR if compared w/ NY</t>
    <phoneticPr fontId="1" type="noConversion"/>
  </si>
  <si>
    <t>https://www.cdc.gov/antimicrobial-resistance-laboratory-networks/php/about/domestic.html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</si>
  <si>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</si>
  <si>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</si>
  <si>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</si>
  <si>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</si>
  <si>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</si>
  <si>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</si>
  <si>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</si>
  <si>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</si>
  <si>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</si>
  <si>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</si>
  <si>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</si>
  <si>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</si>
  <si>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</si>
  <si>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</si>
  <si>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</si>
  <si>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</si>
  <si>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</si>
  <si>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</si>
  <si>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</si>
  <si>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</si>
  <si>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</si>
  <si>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</si>
  <si>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</si>
  <si>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</si>
  <si>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</si>
  <si>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</si>
  <si>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</si>
  <si>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</si>
  <si>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</si>
  <si>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</si>
  <si>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</si>
  <si>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</si>
  <si>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</si>
  <si>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</si>
  <si>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</si>
  <si>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</si>
  <si>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</si>
  <si>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</si>
  <si>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</si>
  <si>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</si>
  <si>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</si>
  <si>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</si>
  <si>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</si>
  <si>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</si>
  <si>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</si>
  <si>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</si>
  <si>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</si>
  <si>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</si>
  <si>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</si>
  <si>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</si>
  <si>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</si>
  <si>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</si>
  <si>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</si>
  <si>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</si>
  <si>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</si>
  <si>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</si>
  <si>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</si>
  <si>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</si>
  <si>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</si>
  <si>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</si>
  <si>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</si>
  <si>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</si>
  <si>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</si>
  <si>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</si>
  <si>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</si>
  <si>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</si>
  <si>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</si>
  <si>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</si>
  <si>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</si>
  <si>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</si>
  <si>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</si>
  <si>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</si>
  <si>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</si>
  <si>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</si>
  <si>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</si>
  <si>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</si>
  <si>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</si>
  <si>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</si>
  <si>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</si>
  <si>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</si>
  <si>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</si>
  <si>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</si>
  <si>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</si>
  <si>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</si>
  <si>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</si>
  <si>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</si>
  <si>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</si>
  <si>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</si>
  <si>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</si>
  <si>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</si>
  <si>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</si>
  <si>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</si>
  <si>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</si>
  <si>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</si>
  <si>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</si>
  <si>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</si>
  <si>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</si>
  <si>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</si>
  <si>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</si>
  <si>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</si>
  <si>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 of Columbia</t>
  </si>
  <si>
    <t>DC</t>
  </si>
  <si>
    <t>Guam</t>
  </si>
  <si>
    <t>GU</t>
  </si>
  <si>
    <t>Puerto Rico</t>
  </si>
  <si>
    <t>PR</t>
  </si>
  <si>
    <t>Virgin Islands</t>
  </si>
  <si>
    <t>VI</t>
  </si>
  <si>
    <t>Armed Forces Africa</t>
  </si>
  <si>
    <t>Armed Forces Pacific</t>
  </si>
  <si>
    <t>AP</t>
  </si>
  <si>
    <t>766-1083</t>
  </si>
  <si>
    <t>354-466</t>
  </si>
  <si>
    <t>555-619</t>
  </si>
  <si>
    <t>635-675</t>
  </si>
  <si>
    <t>677-765</t>
  </si>
  <si>
    <t>472-551</t>
  </si>
  <si>
    <t>abbr</t>
    <phoneticPr fontId="1" type="noConversion"/>
  </si>
  <si>
    <t>states</t>
    <phoneticPr fontId="1" type="noConversion"/>
  </si>
  <si>
    <t>rate</t>
    <phoneticPr fontId="1" type="noConversion"/>
  </si>
  <si>
    <t>legendCategory</t>
    <phoneticPr fontId="1" type="noConversion"/>
  </si>
  <si>
    <t>AE</t>
    <phoneticPr fontId="1" type="noConversion"/>
  </si>
  <si>
    <t>whole_state</t>
    <phoneticPr fontId="1" type="noConversion"/>
  </si>
  <si>
    <t>legend_category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</si>
</sst>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_);[Red]\(0.00\)"/>
    <numFmt numFmtId="178" formatCode="0.00_ "/>
    <numFmt numFmtId="179" formatCode="0.0000_);[Red]\(0.0000\)"/>
  </numFmts>
  <fonts count="19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rgb="FF000000"/>
      <name val="Monaco"/>
      <family val="2"/>
    </font>
    <font>
      <sz val="10"/>
      <color theme="1"/>
      <name val="Monaco"/>
      <family val="2"/>
    </font>
    <font>
      <sz val="12"/>
      <color theme="1"/>
      <name val="Monaco"/>
      <family val="2"/>
    </font>
    <font>
      <b/>
      <sz val="10"/>
      <color rgb="FF000000"/>
      <name val="Monaco"/>
      <family val="2"/>
    </font>
    <font>
      <b/>
      <sz val="10"/>
      <color theme="1"/>
      <name val="Monaco"/>
      <family val="2"/>
    </font>
    <font>
      <sz val="12"/>
      <color rgb="FF000000"/>
      <name val="Times New Roman"/>
      <family val="1"/>
    </font>
    <font>
      <sz val="10"/>
      <color rgb="FFFF0000"/>
      <name val="Monaco"/>
      <family val="2"/>
    </font>
    <font>
      <b/>
      <sz val="12"/>
      <color rgb="FFFF0000"/>
      <name val="SimSun"/>
      <family val="3"/>
      <charset val="134"/>
    </font>
    <font>
      <b/>
      <sz val="10"/>
      <color rgb="FFFF0000"/>
      <name val="Monaco"/>
      <family val="2"/>
    </font>
    <font>
      <b/>
      <i/>
      <sz val="10"/>
      <color theme="7"/>
      <name val="Monaco"/>
      <family val="2"/>
    </font>
    <font>
      <i/>
      <sz val="12"/>
      <color theme="7"/>
      <name val="SimSun"/>
      <family val="2"/>
      <charset val="134"/>
    </font>
    <font>
      <b/>
      <sz val="10.8"/>
      <color theme="1"/>
      <name val="-apple-system-font"/>
    </font>
    <font>
      <sz val="10.8"/>
      <color theme="1"/>
      <name val="-apple-system-font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Helvetica Neue"/>
      <family val="2"/>
    </font>
    <font>
      <sz val="12"/>
      <color rgb="FFFF0000"/>
      <name val="Monaco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F0B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3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179" fontId="6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5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0" fillId="5" borderId="3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9" fillId="5" borderId="3" xfId="0" applyFont="1" applyFill="1" applyBorder="1" applyAlignment="1">
      <alignment horizontal="center" vertical="center"/>
    </xf>
    <xf numFmtId="0" fontId="10" fillId="3" borderId="1" xfId="0" applyFont="1" applyFill="1" applyBorder="1">
      <alignment vertical="center"/>
    </xf>
    <xf numFmtId="0" fontId="10" fillId="4" borderId="2" xfId="0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left" vertical="center"/>
    </xf>
    <xf numFmtId="0" fontId="15" fillId="6" borderId="0" xfId="0" applyFont="1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0" fontId="15" fillId="7" borderId="0" xfId="0" applyFont="1" applyFill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left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left"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left" vertical="center"/>
    </xf>
    <xf numFmtId="0" fontId="15" fillId="10" borderId="0" xfId="0" applyFon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left" vertical="center"/>
    </xf>
    <xf numFmtId="0" fontId="15" fillId="11" borderId="0" xfId="0" applyFont="1" applyFill="1">
      <alignment vertical="center"/>
    </xf>
    <xf numFmtId="0" fontId="1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0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292100</xdr:colOff>
      <xdr:row>1</xdr:row>
      <xdr:rowOff>139700</xdr:rowOff>
    </xdr:from>
    <xdr:ext cx="3289300" cy="3849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8D82D2-B70A-8649-8ECA-BD6919E2947C}"/>
            </a:ext>
          </a:extLst>
        </xdr:cNvPr>
        <xdr:cNvSpPr txBox="1"/>
      </xdr:nvSpPr>
      <xdr:spPr>
        <a:xfrm>
          <a:off x="11671300" y="317500"/>
          <a:ext cx="3289300" cy="384977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Test:</a:t>
          </a:r>
          <a:r>
            <a:rPr lang="zh-CN" alt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Logistic</a:t>
          </a:r>
          <a:r>
            <a:rPr lang="zh-CN" alt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bimodel</a:t>
          </a:r>
          <a:b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code:</a:t>
          </a:r>
          <a:b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model_strength&lt;- glm(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highest_strnt ~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unifm_prod_nm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pat_age_nbr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pri_spcl_desc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provider_st_cd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dosage_form_nm,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family = binomial,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data = RX_model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fontAlgn="ctr"/>
          <a:endParaRPr lang="en-US" sz="12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ctr"/>
          <a:b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References: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antibiotic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"AMOXICILLIN"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provider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state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"NY"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dosage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"TABLET"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specialty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"NURSE PRACTITIONER"   </a:t>
          </a:r>
          <a:r>
            <a:rPr lang="en-US" sz="1200">
              <a:effectLst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660400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FC40A-C7DD-FF78-CC09-52BFF3C60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2480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88900</xdr:rowOff>
    </xdr:from>
    <xdr:to>
      <xdr:col>8</xdr:col>
      <xdr:colOff>660400</xdr:colOff>
      <xdr:row>7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A91DF-B4AD-B975-6573-EAEB26C9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900"/>
          <a:ext cx="7924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9</xdr:row>
      <xdr:rowOff>88900</xdr:rowOff>
    </xdr:from>
    <xdr:to>
      <xdr:col>7</xdr:col>
      <xdr:colOff>520700</xdr:colOff>
      <xdr:row>33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B285DC-5E71-19D3-B656-08B2D74C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3400"/>
          <a:ext cx="6921500" cy="449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662270</xdr:colOff>
      <xdr:row>34</xdr:row>
      <xdr:rowOff>121140</xdr:rowOff>
    </xdr:from>
    <xdr:to>
      <xdr:col>11</xdr:col>
      <xdr:colOff>247546</xdr:colOff>
      <xdr:row>44</xdr:row>
      <xdr:rowOff>2242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63B7E3-2247-77AE-EFF8-CA7A56288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28098" y="6478931"/>
          <a:ext cx="5366503" cy="1844538"/>
        </a:xfrm>
        <a:prstGeom prst="rect">
          <a:avLst/>
        </a:prstGeom>
      </xdr:spPr>
    </xdr:pic>
    <xdr:clientData/>
  </xdr:twoCellAnchor>
  <xdr:twoCellAnchor editAs="oneCell">
    <xdr:from>
      <xdr:col>7</xdr:col>
      <xdr:colOff>691030</xdr:colOff>
      <xdr:row>9</xdr:row>
      <xdr:rowOff>100620</xdr:rowOff>
    </xdr:from>
    <xdr:to>
      <xdr:col>17</xdr:col>
      <xdr:colOff>285874</xdr:colOff>
      <xdr:row>32</xdr:row>
      <xdr:rowOff>153396</xdr:rowOff>
    </xdr:to>
    <xdr:pic>
      <xdr:nvPicPr>
        <xdr:cNvPr id="6" name="Picture 5" descr="U.S. map shows seven regional labs that support AR testing.">
          <a:extLst>
            <a:ext uri="{FF2B5EF4-FFF2-40B4-BE49-F238E27FC236}">
              <a16:creationId xmlns:a16="http://schemas.microsoft.com/office/drawing/2014/main" id="{399D2C1D-55B4-C166-6F17-2A898FFAA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736" y="1781502"/>
          <a:ext cx="7812491" cy="434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6F38-8901-0443-8989-34426375F3A8}">
  <sheetPr filterMode="1"/>
  <dimension ref="A1:H98"/>
  <sheetViews>
    <sheetView zoomScale="125" workbookViewId="0">
      <pane ySplit="1" topLeftCell="A2" activePane="bottomLeft" state="frozen"/>
      <selection pane="bottomLeft" activeCell="A100" sqref="A100"/>
    </sheetView>
  </sheetViews>
  <sheetFormatPr baseColWidth="10" defaultRowHeight="14"/>
  <cols>
    <col min="1" max="1" width="47.5" style="2" customWidth="1"/>
    <col min="2" max="2" width="12.6640625" style="2" bestFit="1" customWidth="1"/>
    <col min="3" max="3" width="12.5" style="2" customWidth="1"/>
    <col min="4" max="4" width="13" style="2" bestFit="1" customWidth="1"/>
    <col min="5" max="5" width="11" style="2" bestFit="1" customWidth="1"/>
    <col min="6" max="6" width="16.33203125" style="18" customWidth="1"/>
    <col min="7" max="7" width="14.6640625" style="2" customWidth="1"/>
    <col min="8" max="16384" width="10.83203125" style="2"/>
  </cols>
  <sheetData>
    <row r="1" spans="1:8">
      <c r="A1" s="8" t="s">
        <v>1</v>
      </c>
      <c r="B1" s="9" t="s">
        <v>0</v>
      </c>
      <c r="C1" s="9" t="s">
        <v>129</v>
      </c>
      <c r="D1" s="9" t="s">
        <v>2</v>
      </c>
      <c r="E1" s="9" t="s">
        <v>3</v>
      </c>
      <c r="F1" s="17" t="s">
        <v>99</v>
      </c>
      <c r="G1" s="9" t="s">
        <v>105</v>
      </c>
      <c r="H1" s="9" t="s">
        <v>134</v>
      </c>
    </row>
    <row r="2" spans="1:8">
      <c r="A2" s="1" t="s">
        <v>100</v>
      </c>
      <c r="B2" s="12">
        <v>2.2570000000000001</v>
      </c>
      <c r="C2" s="12">
        <f t="shared" ref="C2:C33" si="0">EXP(B2)</f>
        <v>9.5543829800737594</v>
      </c>
      <c r="D2" s="12">
        <v>0.20830000000000001</v>
      </c>
      <c r="E2" s="2">
        <v>10.834</v>
      </c>
      <c r="F2" s="18" t="s">
        <v>102</v>
      </c>
      <c r="G2" s="2" t="s">
        <v>103</v>
      </c>
      <c r="H2" s="2" t="str">
        <f>IF(C2&gt;1, "Y", "N")</f>
        <v>Y</v>
      </c>
    </row>
    <row r="3" spans="1:8" hidden="1">
      <c r="A3" s="1" t="s">
        <v>97</v>
      </c>
      <c r="B3" s="12">
        <v>44.71</v>
      </c>
      <c r="C3" s="12">
        <f t="shared" si="0"/>
        <v>2.6140042292230435E+19</v>
      </c>
      <c r="D3" s="12">
        <v>14510</v>
      </c>
      <c r="E3" s="2">
        <v>3.0000000000000001E-3</v>
      </c>
      <c r="F3" s="18">
        <v>0.99750000000000005</v>
      </c>
    </row>
    <row r="4" spans="1:8" hidden="1">
      <c r="A4" s="1" t="s">
        <v>98</v>
      </c>
      <c r="B4" s="12">
        <v>17.88</v>
      </c>
      <c r="C4" s="12">
        <f t="shared" si="0"/>
        <v>58235168.502116203</v>
      </c>
      <c r="D4" s="12">
        <v>1801</v>
      </c>
      <c r="E4" s="2">
        <v>0.01</v>
      </c>
      <c r="F4" s="18">
        <v>0.99209999999999998</v>
      </c>
    </row>
    <row r="5" spans="1:8" hidden="1">
      <c r="A5" s="1" t="s">
        <v>21</v>
      </c>
      <c r="B5" s="12">
        <v>0.1144</v>
      </c>
      <c r="C5" s="12">
        <f t="shared" si="0"/>
        <v>1.1212005154062326</v>
      </c>
      <c r="D5" s="12">
        <v>0.1431</v>
      </c>
      <c r="E5" s="2">
        <v>0.8</v>
      </c>
      <c r="F5" s="18">
        <v>0.42380000000000001</v>
      </c>
    </row>
    <row r="6" spans="1:8">
      <c r="A6" s="1" t="s">
        <v>31</v>
      </c>
      <c r="B6" s="12">
        <v>5.5419999999999998</v>
      </c>
      <c r="C6" s="12">
        <f t="shared" si="0"/>
        <v>255.18786515321113</v>
      </c>
      <c r="D6" s="12">
        <v>1.359</v>
      </c>
      <c r="E6" s="2">
        <v>4.0789999999999997</v>
      </c>
      <c r="F6" s="18">
        <v>4.5300000000000003E-5</v>
      </c>
      <c r="G6" s="2" t="s">
        <v>103</v>
      </c>
      <c r="H6" s="2" t="str">
        <f>IF(C6&gt;1, "Y", "N")</f>
        <v>Y</v>
      </c>
    </row>
    <row r="7" spans="1:8" hidden="1">
      <c r="A7" s="1" t="s">
        <v>6</v>
      </c>
      <c r="B7" s="12">
        <v>25.99</v>
      </c>
      <c r="C7" s="12">
        <f t="shared" si="0"/>
        <v>193782067274.81113</v>
      </c>
      <c r="D7" s="12">
        <v>501.3</v>
      </c>
      <c r="E7" s="2">
        <v>5.1999999999999998E-2</v>
      </c>
      <c r="F7" s="18">
        <v>0.95860000000000001</v>
      </c>
    </row>
    <row r="8" spans="1:8">
      <c r="A8" s="1" t="s">
        <v>11</v>
      </c>
      <c r="B8" s="12">
        <v>7.5720000000000001</v>
      </c>
      <c r="C8" s="12">
        <f t="shared" si="0"/>
        <v>1943.0224429892489</v>
      </c>
      <c r="D8" s="12">
        <v>0.50970000000000004</v>
      </c>
      <c r="E8" s="2">
        <v>14.856999999999999</v>
      </c>
      <c r="F8" s="18" t="s">
        <v>102</v>
      </c>
      <c r="G8" s="2" t="s">
        <v>103</v>
      </c>
      <c r="H8" s="2" t="str">
        <f>IF(C8&gt;1, "Y", "N")</f>
        <v>Y</v>
      </c>
    </row>
    <row r="9" spans="1:8">
      <c r="A9" s="1" t="s">
        <v>16</v>
      </c>
      <c r="B9" s="12">
        <v>2.4550000000000001</v>
      </c>
      <c r="C9" s="12">
        <f t="shared" si="0"/>
        <v>11.646433548879468</v>
      </c>
      <c r="D9" s="12">
        <v>0.2576</v>
      </c>
      <c r="E9" s="2">
        <v>9.5329999999999995</v>
      </c>
      <c r="F9" s="18" t="s">
        <v>102</v>
      </c>
      <c r="G9" s="2" t="s">
        <v>103</v>
      </c>
      <c r="H9" s="2" t="str">
        <f>IF(C9&gt;1, "Y", "N")</f>
        <v>Y</v>
      </c>
    </row>
    <row r="10" spans="1:8">
      <c r="A10" s="1" t="s">
        <v>17</v>
      </c>
      <c r="B10" s="12">
        <v>1.216</v>
      </c>
      <c r="C10" s="12">
        <f t="shared" si="0"/>
        <v>3.3736660440948167</v>
      </c>
      <c r="D10" s="12">
        <v>0.15540000000000001</v>
      </c>
      <c r="E10" s="2">
        <v>7.827</v>
      </c>
      <c r="F10" s="18">
        <v>4.9900000000000002E-15</v>
      </c>
      <c r="G10" s="2" t="s">
        <v>103</v>
      </c>
      <c r="H10" s="2" t="str">
        <f>IF(C10&gt;1, "Y", "N")</f>
        <v>Y</v>
      </c>
    </row>
    <row r="11" spans="1:8">
      <c r="A11" s="1" t="s">
        <v>90</v>
      </c>
      <c r="B11" s="12">
        <v>-8.0850000000000009</v>
      </c>
      <c r="C11" s="12">
        <f t="shared" si="0"/>
        <v>3.0812654468605194E-4</v>
      </c>
      <c r="D11" s="12">
        <v>0.50919999999999999</v>
      </c>
      <c r="E11" s="2">
        <v>-15.875999999999999</v>
      </c>
      <c r="F11" s="18" t="s">
        <v>102</v>
      </c>
      <c r="G11" s="2" t="s">
        <v>103</v>
      </c>
      <c r="H11" s="2" t="str">
        <f>IF(C11&gt;1, "Y", "N")</f>
        <v>N</v>
      </c>
    </row>
    <row r="12" spans="1:8" hidden="1">
      <c r="A12" s="1" t="s">
        <v>93</v>
      </c>
      <c r="B12" s="12">
        <v>-25.88</v>
      </c>
      <c r="C12" s="12">
        <f t="shared" si="0"/>
        <v>5.7604817935801365E-12</v>
      </c>
      <c r="D12" s="12">
        <v>3812</v>
      </c>
      <c r="E12" s="2">
        <v>-7.0000000000000001E-3</v>
      </c>
      <c r="F12" s="18">
        <v>0.99460000000000004</v>
      </c>
    </row>
    <row r="13" spans="1:8" hidden="1">
      <c r="A13" s="1" t="s">
        <v>94</v>
      </c>
      <c r="B13" s="12">
        <v>-47.86</v>
      </c>
      <c r="C13" s="12">
        <f t="shared" si="0"/>
        <v>1.6393289034492922E-21</v>
      </c>
      <c r="D13" s="12">
        <v>712.7</v>
      </c>
      <c r="E13" s="2">
        <v>-6.7000000000000004E-2</v>
      </c>
      <c r="F13" s="18">
        <v>0.94650000000000001</v>
      </c>
    </row>
    <row r="14" spans="1:8" hidden="1">
      <c r="A14" s="1" t="s">
        <v>95</v>
      </c>
      <c r="B14" s="12">
        <v>-24.27</v>
      </c>
      <c r="C14" s="12">
        <f t="shared" si="0"/>
        <v>2.8818602994653656E-11</v>
      </c>
      <c r="D14" s="12">
        <v>8409</v>
      </c>
      <c r="E14" s="2">
        <v>-3.0000000000000001E-3</v>
      </c>
      <c r="F14" s="18">
        <v>0.99770000000000003</v>
      </c>
    </row>
    <row r="15" spans="1:8">
      <c r="A15" s="1" t="s">
        <v>18</v>
      </c>
      <c r="B15" s="12">
        <v>-1.335</v>
      </c>
      <c r="C15" s="12">
        <f t="shared" si="0"/>
        <v>0.26315817545602871</v>
      </c>
      <c r="D15" s="12">
        <v>0.14349999999999999</v>
      </c>
      <c r="E15" s="2">
        <v>-9.3049999999999997</v>
      </c>
      <c r="F15" s="18" t="s">
        <v>102</v>
      </c>
      <c r="G15" s="2" t="s">
        <v>103</v>
      </c>
      <c r="H15" s="2" t="str">
        <f>IF(C15&gt;1, "Y", "N")</f>
        <v>N</v>
      </c>
    </row>
    <row r="16" spans="1:8" hidden="1">
      <c r="A16" s="1" t="s">
        <v>20</v>
      </c>
      <c r="B16" s="12">
        <v>-9.0840000000000004E-2</v>
      </c>
      <c r="C16" s="12">
        <f t="shared" si="0"/>
        <v>0.91316380542025966</v>
      </c>
      <c r="D16" s="12">
        <v>0.23269999999999999</v>
      </c>
      <c r="E16" s="2">
        <v>-0.39</v>
      </c>
      <c r="F16" s="18">
        <v>0.69620000000000004</v>
      </c>
    </row>
    <row r="17" spans="1:8" hidden="1">
      <c r="A17" s="1" t="s">
        <v>23</v>
      </c>
      <c r="B17" s="12">
        <v>-2.0109999999999999E-2</v>
      </c>
      <c r="C17" s="12">
        <f t="shared" si="0"/>
        <v>0.98009085738267609</v>
      </c>
      <c r="D17" s="12">
        <v>0.16109999999999999</v>
      </c>
      <c r="E17" s="2">
        <v>-0.125</v>
      </c>
      <c r="F17" s="18">
        <v>0.90069999999999995</v>
      </c>
    </row>
    <row r="18" spans="1:8">
      <c r="A18" s="1" t="s">
        <v>26</v>
      </c>
      <c r="B18" s="12">
        <v>-1.4419999999999999</v>
      </c>
      <c r="C18" s="12">
        <f t="shared" si="0"/>
        <v>0.2364543767045291</v>
      </c>
      <c r="D18" s="12">
        <v>0.22750000000000001</v>
      </c>
      <c r="E18" s="2">
        <v>-6.3390000000000004</v>
      </c>
      <c r="F18" s="18">
        <v>2.31E-10</v>
      </c>
      <c r="G18" s="2" t="s">
        <v>103</v>
      </c>
      <c r="H18" s="2" t="str">
        <f>IF(C18&gt;1, "Y", "N")</f>
        <v>N</v>
      </c>
    </row>
    <row r="19" spans="1:8" hidden="1">
      <c r="A19" s="1" t="s">
        <v>36</v>
      </c>
      <c r="B19" s="12">
        <v>-0.61639999999999995</v>
      </c>
      <c r="C19" s="12">
        <f t="shared" si="0"/>
        <v>0.5398845276367944</v>
      </c>
      <c r="D19" s="12">
        <v>1.7869999999999999</v>
      </c>
      <c r="E19" s="2">
        <v>-0.34499999999999997</v>
      </c>
      <c r="F19" s="18">
        <v>0.73019999999999996</v>
      </c>
    </row>
    <row r="20" spans="1:8">
      <c r="A20" s="1" t="s">
        <v>49</v>
      </c>
      <c r="B20" s="12">
        <v>-1.2869999999999999</v>
      </c>
      <c r="C20" s="12">
        <f t="shared" si="0"/>
        <v>0.27609783539719362</v>
      </c>
      <c r="D20" s="12">
        <v>0.53480000000000005</v>
      </c>
      <c r="E20" s="6">
        <v>-2.407</v>
      </c>
      <c r="F20" s="18">
        <v>1.61E-2</v>
      </c>
      <c r="G20" s="2" t="s">
        <v>104</v>
      </c>
      <c r="H20" s="2" t="str">
        <f>IF(C20&gt;1, "Y", "N")</f>
        <v>N</v>
      </c>
    </row>
    <row r="21" spans="1:8" hidden="1">
      <c r="A21" s="1" t="s">
        <v>54</v>
      </c>
      <c r="B21" s="12">
        <v>-0.1507</v>
      </c>
      <c r="C21" s="12">
        <f t="shared" si="0"/>
        <v>0.86010569166581929</v>
      </c>
      <c r="D21" s="12">
        <v>0.55559999999999998</v>
      </c>
      <c r="E21" s="2">
        <v>-0.27100000000000002</v>
      </c>
      <c r="F21" s="18">
        <v>0.78620000000000001</v>
      </c>
    </row>
    <row r="22" spans="1:8">
      <c r="A22" s="1" t="s">
        <v>60</v>
      </c>
      <c r="B22" s="12">
        <v>-0.54730000000000001</v>
      </c>
      <c r="C22" s="12">
        <f t="shared" si="0"/>
        <v>0.57850967974453493</v>
      </c>
      <c r="D22" s="12">
        <v>0.2417</v>
      </c>
      <c r="E22" s="6">
        <v>-2.2650000000000001</v>
      </c>
      <c r="F22" s="18">
        <v>2.35E-2</v>
      </c>
      <c r="G22" s="2" t="s">
        <v>104</v>
      </c>
      <c r="H22" s="2" t="str">
        <f>IF(C22&gt;1, "Y", "N")</f>
        <v>N</v>
      </c>
    </row>
    <row r="23" spans="1:8" hidden="1">
      <c r="A23" s="1" t="s">
        <v>65</v>
      </c>
      <c r="B23" s="12">
        <v>-0.30730000000000002</v>
      </c>
      <c r="C23" s="12">
        <f t="shared" si="0"/>
        <v>0.73542993882794794</v>
      </c>
      <c r="D23" s="12">
        <v>0.25269999999999998</v>
      </c>
      <c r="E23" s="2">
        <v>-1.216</v>
      </c>
      <c r="F23" s="18">
        <v>0.224</v>
      </c>
    </row>
    <row r="24" spans="1:8">
      <c r="A24" s="1" t="s">
        <v>67</v>
      </c>
      <c r="B24" s="12">
        <v>-1.121</v>
      </c>
      <c r="C24" s="12">
        <f t="shared" si="0"/>
        <v>0.32595367791394736</v>
      </c>
      <c r="D24" s="12">
        <v>0.55730000000000002</v>
      </c>
      <c r="E24" s="6">
        <v>-2.0110000000000001</v>
      </c>
      <c r="F24" s="18">
        <v>4.4299999999999999E-2</v>
      </c>
      <c r="G24" s="2" t="s">
        <v>104</v>
      </c>
      <c r="H24" s="2" t="str">
        <f>IF(C24&gt;1, "Y", "N")</f>
        <v>N</v>
      </c>
    </row>
    <row r="25" spans="1:8">
      <c r="A25" s="1" t="s">
        <v>70</v>
      </c>
      <c r="B25" s="12">
        <v>-1.952</v>
      </c>
      <c r="C25" s="12">
        <f t="shared" si="0"/>
        <v>0.14198980780187978</v>
      </c>
      <c r="D25" s="12">
        <v>0.8196</v>
      </c>
      <c r="E25" s="6">
        <v>-2.3820000000000001</v>
      </c>
      <c r="F25" s="18">
        <v>1.72E-2</v>
      </c>
      <c r="G25" s="2" t="s">
        <v>104</v>
      </c>
      <c r="H25" s="2" t="str">
        <f>IF(C25&gt;1, "Y", "N")</f>
        <v>N</v>
      </c>
    </row>
    <row r="26" spans="1:8">
      <c r="A26" s="1" t="s">
        <v>72</v>
      </c>
      <c r="B26" s="12">
        <v>-0.50509999999999999</v>
      </c>
      <c r="C26" s="12">
        <f t="shared" si="0"/>
        <v>0.60344522788692512</v>
      </c>
      <c r="D26" s="12">
        <v>0.2346</v>
      </c>
      <c r="E26" s="6">
        <v>-2.1539999999999999</v>
      </c>
      <c r="F26" s="18">
        <v>3.1300000000000001E-2</v>
      </c>
      <c r="G26" s="2" t="s">
        <v>104</v>
      </c>
      <c r="H26" s="2" t="str">
        <f>IF(C26&gt;1, "Y", "N")</f>
        <v>N</v>
      </c>
    </row>
    <row r="27" spans="1:8">
      <c r="A27" s="1" t="s">
        <v>74</v>
      </c>
      <c r="B27" s="12">
        <v>-1.3380000000000001</v>
      </c>
      <c r="C27" s="12">
        <f t="shared" si="0"/>
        <v>0.26236988395812599</v>
      </c>
      <c r="D27" s="12">
        <v>0.59960000000000002</v>
      </c>
      <c r="E27" s="6">
        <v>-2.2320000000000002</v>
      </c>
      <c r="F27" s="18">
        <v>2.5600000000000001E-2</v>
      </c>
      <c r="G27" s="2" t="s">
        <v>104</v>
      </c>
      <c r="H27" s="2" t="str">
        <f>IF(C27&gt;1, "Y", "N")</f>
        <v>N</v>
      </c>
    </row>
    <row r="28" spans="1:8" hidden="1">
      <c r="A28" s="1" t="s">
        <v>75</v>
      </c>
      <c r="B28" s="12">
        <v>-0.1958</v>
      </c>
      <c r="C28" s="12">
        <f t="shared" si="0"/>
        <v>0.82217665356646297</v>
      </c>
      <c r="D28" s="12">
        <v>0.20849999999999999</v>
      </c>
      <c r="E28" s="2">
        <v>-0.93899999999999995</v>
      </c>
      <c r="F28" s="18">
        <v>0.34760000000000002</v>
      </c>
    </row>
    <row r="29" spans="1:8" hidden="1">
      <c r="A29" s="1" t="s">
        <v>77</v>
      </c>
      <c r="B29" s="12">
        <v>-0.2094</v>
      </c>
      <c r="C29" s="12">
        <f t="shared" si="0"/>
        <v>0.81107074245211885</v>
      </c>
      <c r="D29" s="12">
        <v>0.53380000000000005</v>
      </c>
      <c r="E29" s="2">
        <v>-0.39200000000000002</v>
      </c>
      <c r="F29" s="18">
        <v>0.69489999999999996</v>
      </c>
    </row>
    <row r="30" spans="1:8" hidden="1">
      <c r="A30" s="1" t="s">
        <v>79</v>
      </c>
      <c r="B30" s="12">
        <v>-1.4390000000000001</v>
      </c>
      <c r="C30" s="12">
        <f t="shared" si="0"/>
        <v>0.23716480494418105</v>
      </c>
      <c r="D30" s="12">
        <v>0.99270000000000003</v>
      </c>
      <c r="E30" s="2">
        <v>-1.4490000000000001</v>
      </c>
      <c r="F30" s="18">
        <v>0.14729999999999999</v>
      </c>
    </row>
    <row r="31" spans="1:8">
      <c r="A31" s="1" t="s">
        <v>87</v>
      </c>
      <c r="B31" s="12">
        <v>-0.98729999999999996</v>
      </c>
      <c r="C31" s="12">
        <f t="shared" si="0"/>
        <v>0.37258130370462456</v>
      </c>
      <c r="D31" s="12">
        <v>0.39889999999999998</v>
      </c>
      <c r="E31" s="6">
        <v>-2.4750000000000001</v>
      </c>
      <c r="F31" s="18">
        <v>1.3299999999999999E-2</v>
      </c>
      <c r="G31" s="2" t="s">
        <v>104</v>
      </c>
      <c r="H31" s="2" t="str">
        <f t="shared" ref="H31:H36" si="1">IF(C31&gt;1, "Y", "N")</f>
        <v>N</v>
      </c>
    </row>
    <row r="32" spans="1:8">
      <c r="A32" s="1" t="s">
        <v>7</v>
      </c>
      <c r="B32" s="12">
        <v>-1.1579999999999999</v>
      </c>
      <c r="C32" s="12">
        <f t="shared" si="0"/>
        <v>0.31411378063492296</v>
      </c>
      <c r="D32" s="12">
        <v>0.19589999999999999</v>
      </c>
      <c r="E32" s="2">
        <v>-5.9119999999999999</v>
      </c>
      <c r="F32" s="18">
        <v>3.3799999999999999E-9</v>
      </c>
      <c r="G32" s="2" t="s">
        <v>103</v>
      </c>
      <c r="H32" s="2" t="str">
        <f t="shared" si="1"/>
        <v>N</v>
      </c>
    </row>
    <row r="33" spans="1:8">
      <c r="A33" s="1" t="s">
        <v>8</v>
      </c>
      <c r="B33" s="12">
        <v>-3.887</v>
      </c>
      <c r="C33" s="12">
        <f t="shared" si="0"/>
        <v>2.0506774172181743E-2</v>
      </c>
      <c r="D33" s="12">
        <v>0.77980000000000005</v>
      </c>
      <c r="E33" s="2">
        <v>-4.984</v>
      </c>
      <c r="F33" s="18">
        <v>6.2200000000000004E-7</v>
      </c>
      <c r="G33" s="2" t="s">
        <v>103</v>
      </c>
      <c r="H33" s="2" t="str">
        <f t="shared" si="1"/>
        <v>N</v>
      </c>
    </row>
    <row r="34" spans="1:8">
      <c r="A34" s="1" t="s">
        <v>9</v>
      </c>
      <c r="B34" s="12">
        <v>-6.673</v>
      </c>
      <c r="C34" s="12">
        <f t="shared" ref="C34:C65" si="2">EXP(B34)</f>
        <v>1.2645992568450805E-3</v>
      </c>
      <c r="D34" s="12">
        <v>0.30869999999999997</v>
      </c>
      <c r="E34" s="2">
        <v>-21.617999999999999</v>
      </c>
      <c r="F34" s="18" t="s">
        <v>102</v>
      </c>
      <c r="G34" s="2" t="s">
        <v>103</v>
      </c>
      <c r="H34" s="2" t="str">
        <f t="shared" si="1"/>
        <v>N</v>
      </c>
    </row>
    <row r="35" spans="1:8">
      <c r="A35" s="1" t="s">
        <v>12</v>
      </c>
      <c r="B35" s="12">
        <v>-6.2169999999999996</v>
      </c>
      <c r="C35" s="12">
        <f t="shared" si="2"/>
        <v>1.9952219134787581E-3</v>
      </c>
      <c r="D35" s="12">
        <v>0.73550000000000004</v>
      </c>
      <c r="E35" s="2">
        <v>-8.4529999999999994</v>
      </c>
      <c r="F35" s="18" t="s">
        <v>102</v>
      </c>
      <c r="G35" s="2" t="s">
        <v>103</v>
      </c>
      <c r="H35" s="2" t="str">
        <f t="shared" si="1"/>
        <v>N</v>
      </c>
    </row>
    <row r="36" spans="1:8">
      <c r="A36" s="1" t="s">
        <v>14</v>
      </c>
      <c r="B36" s="12">
        <v>-3.0459999999999998</v>
      </c>
      <c r="C36" s="12">
        <f t="shared" si="2"/>
        <v>4.7548739465768049E-2</v>
      </c>
      <c r="D36" s="12">
        <v>0.14130000000000001</v>
      </c>
      <c r="E36" s="2">
        <v>-21.550999999999998</v>
      </c>
      <c r="F36" s="18" t="s">
        <v>102</v>
      </c>
      <c r="G36" s="2" t="s">
        <v>103</v>
      </c>
      <c r="H36" s="2" t="str">
        <f t="shared" si="1"/>
        <v>N</v>
      </c>
    </row>
    <row r="37" spans="1:8" hidden="1">
      <c r="A37" s="1" t="s">
        <v>91</v>
      </c>
      <c r="B37" s="12">
        <v>45.07</v>
      </c>
      <c r="C37" s="12">
        <f t="shared" si="2"/>
        <v>3.7467291515305165E+19</v>
      </c>
      <c r="D37" s="12">
        <v>11310</v>
      </c>
      <c r="E37" s="2">
        <v>4.0000000000000001E-3</v>
      </c>
      <c r="F37" s="18">
        <v>0.99680000000000002</v>
      </c>
    </row>
    <row r="38" spans="1:8" hidden="1">
      <c r="A38" s="1" t="s">
        <v>92</v>
      </c>
      <c r="B38" s="12">
        <v>-26.68</v>
      </c>
      <c r="C38" s="12">
        <f t="shared" si="2"/>
        <v>2.5883513171254756E-12</v>
      </c>
      <c r="D38" s="12">
        <v>8931</v>
      </c>
      <c r="E38" s="2">
        <v>-3.0000000000000001E-3</v>
      </c>
      <c r="F38" s="18">
        <v>0.99760000000000004</v>
      </c>
    </row>
    <row r="39" spans="1:8" hidden="1">
      <c r="A39" s="1" t="s">
        <v>96</v>
      </c>
      <c r="B39" s="12">
        <v>19.55</v>
      </c>
      <c r="C39" s="12">
        <f t="shared" si="2"/>
        <v>309354986.78036124</v>
      </c>
      <c r="D39" s="12">
        <v>884.2</v>
      </c>
      <c r="E39" s="2">
        <v>2.1999999999999999E-2</v>
      </c>
      <c r="F39" s="18">
        <v>0.98240000000000005</v>
      </c>
    </row>
    <row r="40" spans="1:8" hidden="1">
      <c r="A40" s="1" t="s">
        <v>101</v>
      </c>
      <c r="B40" s="12">
        <v>-3.8630000000000001E-3</v>
      </c>
      <c r="C40" s="12">
        <f t="shared" si="2"/>
        <v>0.99614445178599542</v>
      </c>
      <c r="D40" s="12">
        <v>2.1930000000000001E-3</v>
      </c>
      <c r="E40" s="2">
        <v>-1.7609999999999999</v>
      </c>
      <c r="F40" s="18">
        <v>7.8200000000000006E-2</v>
      </c>
    </row>
    <row r="41" spans="1:8" hidden="1">
      <c r="A41" s="1" t="s">
        <v>19</v>
      </c>
      <c r="B41" s="12">
        <v>0.29620000000000002</v>
      </c>
      <c r="C41" s="12">
        <f t="shared" si="2"/>
        <v>1.3447390777546151</v>
      </c>
      <c r="D41" s="12">
        <v>0.69620000000000004</v>
      </c>
      <c r="E41" s="2">
        <v>0.42499999999999999</v>
      </c>
      <c r="F41" s="18">
        <v>0.67049999999999998</v>
      </c>
    </row>
    <row r="42" spans="1:8" hidden="1">
      <c r="A42" s="1" t="s">
        <v>22</v>
      </c>
      <c r="B42" s="12">
        <v>-0.37290000000000001</v>
      </c>
      <c r="C42" s="12">
        <f t="shared" si="2"/>
        <v>0.68873410281068115</v>
      </c>
      <c r="D42" s="12">
        <v>6073</v>
      </c>
      <c r="E42" s="2">
        <v>0</v>
      </c>
      <c r="F42" s="18">
        <v>1</v>
      </c>
    </row>
    <row r="43" spans="1:8" hidden="1">
      <c r="A43" s="1" t="s">
        <v>24</v>
      </c>
      <c r="B43" s="12">
        <v>-0.51519999999999999</v>
      </c>
      <c r="C43" s="12">
        <f t="shared" si="2"/>
        <v>0.59738110644852915</v>
      </c>
      <c r="D43" s="12">
        <v>0.48259999999999997</v>
      </c>
      <c r="E43" s="2">
        <v>-1.0680000000000001</v>
      </c>
      <c r="F43" s="18">
        <v>0.28570000000000001</v>
      </c>
    </row>
    <row r="44" spans="1:8" hidden="1">
      <c r="A44" s="1" t="s">
        <v>25</v>
      </c>
      <c r="B44" s="12">
        <v>-15.71</v>
      </c>
      <c r="C44" s="12">
        <f t="shared" si="2"/>
        <v>1.5039510086456694E-7</v>
      </c>
      <c r="D44" s="12">
        <v>4020</v>
      </c>
      <c r="E44" s="2">
        <v>-4.0000000000000001E-3</v>
      </c>
      <c r="F44" s="18">
        <v>0.99690000000000001</v>
      </c>
    </row>
    <row r="45" spans="1:8" hidden="1">
      <c r="A45" s="1" t="s">
        <v>27</v>
      </c>
      <c r="B45" s="12">
        <v>-20.98</v>
      </c>
      <c r="C45" s="12">
        <f t="shared" si="2"/>
        <v>7.7357383093895748E-10</v>
      </c>
      <c r="D45" s="12">
        <v>3224</v>
      </c>
      <c r="E45" s="2">
        <v>-7.0000000000000001E-3</v>
      </c>
      <c r="F45" s="18">
        <v>0.99480000000000002</v>
      </c>
    </row>
    <row r="46" spans="1:8" hidden="1">
      <c r="A46" s="1" t="s">
        <v>28</v>
      </c>
      <c r="B46" s="12">
        <v>-3.7679999999999998E-2</v>
      </c>
      <c r="C46" s="12">
        <f t="shared" si="2"/>
        <v>0.96302105832844542</v>
      </c>
      <c r="D46" s="12">
        <v>4605</v>
      </c>
      <c r="E46" s="2">
        <v>0</v>
      </c>
      <c r="F46" s="18">
        <v>1</v>
      </c>
    </row>
    <row r="47" spans="1:8" hidden="1">
      <c r="A47" s="1" t="s">
        <v>29</v>
      </c>
      <c r="B47" s="12">
        <v>9.2490000000000003E-2</v>
      </c>
      <c r="C47" s="12">
        <f t="shared" si="2"/>
        <v>1.0969021724837338</v>
      </c>
      <c r="D47" s="12">
        <v>0.32869999999999999</v>
      </c>
      <c r="E47" s="2">
        <v>0.28100000000000003</v>
      </c>
      <c r="F47" s="18">
        <v>0.77839999999999998</v>
      </c>
    </row>
    <row r="48" spans="1:8" hidden="1">
      <c r="A48" s="1" t="s">
        <v>30</v>
      </c>
      <c r="B48" s="12">
        <v>0.18540000000000001</v>
      </c>
      <c r="C48" s="12">
        <f t="shared" si="2"/>
        <v>1.2036998237740573</v>
      </c>
      <c r="D48" s="12">
        <v>0.16689999999999999</v>
      </c>
      <c r="E48" s="2">
        <v>1.111</v>
      </c>
      <c r="F48" s="18">
        <v>0.26679999999999998</v>
      </c>
    </row>
    <row r="49" spans="1:6" hidden="1">
      <c r="A49" s="1" t="s">
        <v>32</v>
      </c>
      <c r="B49" s="12">
        <v>-12.45</v>
      </c>
      <c r="C49" s="12">
        <f t="shared" si="2"/>
        <v>3.9177227660243348E-6</v>
      </c>
      <c r="D49" s="12">
        <v>5160</v>
      </c>
      <c r="E49" s="2">
        <v>-2E-3</v>
      </c>
      <c r="F49" s="18">
        <v>0.99809999999999999</v>
      </c>
    </row>
    <row r="50" spans="1:6" hidden="1">
      <c r="A50" s="1" t="s">
        <v>33</v>
      </c>
      <c r="B50" s="12">
        <v>-0.1376</v>
      </c>
      <c r="C50" s="12">
        <f t="shared" si="2"/>
        <v>0.87144720091968464</v>
      </c>
      <c r="D50" s="12">
        <v>5193</v>
      </c>
      <c r="E50" s="2">
        <v>0</v>
      </c>
      <c r="F50" s="18">
        <v>1</v>
      </c>
    </row>
    <row r="51" spans="1:6" hidden="1">
      <c r="A51" s="1" t="s">
        <v>34</v>
      </c>
      <c r="B51" s="12">
        <v>-0.31259999999999999</v>
      </c>
      <c r="C51" s="12">
        <f t="shared" si="2"/>
        <v>0.73154247104170333</v>
      </c>
      <c r="D51" s="12">
        <v>0.3735</v>
      </c>
      <c r="E51" s="2">
        <v>-0.83699999999999997</v>
      </c>
      <c r="F51" s="18">
        <v>0.4027</v>
      </c>
    </row>
    <row r="52" spans="1:6" hidden="1">
      <c r="A52" s="1" t="s">
        <v>35</v>
      </c>
      <c r="B52" s="12">
        <v>1.901</v>
      </c>
      <c r="C52" s="12">
        <f t="shared" si="2"/>
        <v>6.6925836807833647</v>
      </c>
      <c r="D52" s="12">
        <v>10.72</v>
      </c>
      <c r="E52" s="2">
        <v>0.17699999999999999</v>
      </c>
      <c r="F52" s="18">
        <v>0.85929999999999995</v>
      </c>
    </row>
    <row r="53" spans="1:6" hidden="1">
      <c r="A53" s="1" t="s">
        <v>37</v>
      </c>
      <c r="B53" s="12">
        <v>-6.6739999999999994E-2</v>
      </c>
      <c r="C53" s="12">
        <f t="shared" si="2"/>
        <v>0.9354383837014616</v>
      </c>
      <c r="D53" s="12">
        <v>0.3468</v>
      </c>
      <c r="E53" s="2">
        <v>-0.192</v>
      </c>
      <c r="F53" s="18">
        <v>0.84740000000000004</v>
      </c>
    </row>
    <row r="54" spans="1:6" hidden="1">
      <c r="A54" s="1" t="s">
        <v>38</v>
      </c>
      <c r="B54" s="12">
        <v>-7.6569999999999999E-2</v>
      </c>
      <c r="C54" s="12">
        <f t="shared" si="2"/>
        <v>0.92628807185433359</v>
      </c>
      <c r="D54" s="12">
        <v>24910</v>
      </c>
      <c r="E54" s="2">
        <v>0</v>
      </c>
      <c r="F54" s="18">
        <v>1</v>
      </c>
    </row>
    <row r="55" spans="1:6" hidden="1">
      <c r="A55" s="1" t="s">
        <v>39</v>
      </c>
      <c r="B55" s="12">
        <v>0.41820000000000002</v>
      </c>
      <c r="C55" s="12">
        <f t="shared" si="2"/>
        <v>1.5192244889175592</v>
      </c>
      <c r="D55" s="12">
        <v>0.58309999999999995</v>
      </c>
      <c r="E55" s="2">
        <v>0.71699999999999997</v>
      </c>
      <c r="F55" s="18">
        <v>0.47320000000000001</v>
      </c>
    </row>
    <row r="56" spans="1:6" hidden="1">
      <c r="A56" s="11" t="s">
        <v>40</v>
      </c>
      <c r="B56" s="12">
        <v>0.50590000000000002</v>
      </c>
      <c r="C56" s="12">
        <f t="shared" si="2"/>
        <v>1.6584774787097705</v>
      </c>
      <c r="D56" s="12">
        <v>0.37959999999999999</v>
      </c>
      <c r="E56" s="2">
        <v>1.333</v>
      </c>
      <c r="F56" s="18">
        <v>0.1827</v>
      </c>
    </row>
    <row r="57" spans="1:6" hidden="1">
      <c r="A57" s="1" t="s">
        <v>41</v>
      </c>
      <c r="B57" s="12">
        <v>-6.5430000000000002E-2</v>
      </c>
      <c r="C57" s="12">
        <f t="shared" si="2"/>
        <v>0.93666461098762221</v>
      </c>
      <c r="D57" s="12">
        <v>0.20050000000000001</v>
      </c>
      <c r="E57" s="2">
        <v>-0.32600000000000001</v>
      </c>
      <c r="F57" s="18">
        <v>0.74419999999999997</v>
      </c>
    </row>
    <row r="58" spans="1:6" hidden="1">
      <c r="A58" s="1" t="s">
        <v>42</v>
      </c>
      <c r="B58" s="12">
        <v>-8.2570000000000005E-2</v>
      </c>
      <c r="C58" s="12">
        <f t="shared" si="2"/>
        <v>0.92074698331208993</v>
      </c>
      <c r="D58" s="12">
        <v>0.56399999999999995</v>
      </c>
      <c r="E58" s="2">
        <v>-0.14599999999999999</v>
      </c>
      <c r="F58" s="18">
        <v>0.88360000000000005</v>
      </c>
    </row>
    <row r="59" spans="1:6" hidden="1">
      <c r="A59" s="1" t="s">
        <v>43</v>
      </c>
      <c r="B59" s="12">
        <v>0.1227</v>
      </c>
      <c r="C59" s="12">
        <f t="shared" si="2"/>
        <v>1.1305452065059154</v>
      </c>
      <c r="D59" s="12">
        <v>0.30459999999999998</v>
      </c>
      <c r="E59" s="2">
        <v>0.40300000000000002</v>
      </c>
      <c r="F59" s="18">
        <v>0.68700000000000006</v>
      </c>
    </row>
    <row r="60" spans="1:6" hidden="1">
      <c r="A60" s="1" t="s">
        <v>44</v>
      </c>
      <c r="B60" s="12">
        <v>0.44729999999999998</v>
      </c>
      <c r="C60" s="12">
        <f t="shared" si="2"/>
        <v>1.5640834539458841</v>
      </c>
      <c r="D60" s="12">
        <v>0.68200000000000005</v>
      </c>
      <c r="E60" s="2">
        <v>0.65600000000000003</v>
      </c>
      <c r="F60" s="18">
        <v>0.51200000000000001</v>
      </c>
    </row>
    <row r="61" spans="1:6" hidden="1">
      <c r="A61" s="1" t="s">
        <v>45</v>
      </c>
      <c r="B61" s="12">
        <v>-0.42799999999999999</v>
      </c>
      <c r="C61" s="12">
        <f t="shared" si="2"/>
        <v>0.65181141479873195</v>
      </c>
      <c r="D61" s="12">
        <v>0.71840000000000004</v>
      </c>
      <c r="E61" s="2">
        <v>-0.59599999999999997</v>
      </c>
      <c r="F61" s="18">
        <v>0.55130000000000001</v>
      </c>
    </row>
    <row r="62" spans="1:6" hidden="1">
      <c r="A62" s="1" t="s">
        <v>46</v>
      </c>
      <c r="B62" s="12">
        <v>-0.254</v>
      </c>
      <c r="C62" s="12">
        <f t="shared" si="2"/>
        <v>0.77569180204647603</v>
      </c>
      <c r="D62" s="12">
        <v>0.21490000000000001</v>
      </c>
      <c r="E62" s="2">
        <v>-1.1819999999999999</v>
      </c>
      <c r="F62" s="18">
        <v>0.23730000000000001</v>
      </c>
    </row>
    <row r="63" spans="1:6" hidden="1">
      <c r="A63" s="1" t="s">
        <v>47</v>
      </c>
      <c r="B63" s="12">
        <v>-0.25309999999999999</v>
      </c>
      <c r="C63" s="12">
        <f t="shared" si="2"/>
        <v>0.77639023891776549</v>
      </c>
      <c r="D63" s="12">
        <v>0.24329999999999999</v>
      </c>
      <c r="E63" s="2">
        <v>-1.04</v>
      </c>
      <c r="F63" s="18">
        <v>0.29820000000000002</v>
      </c>
    </row>
    <row r="64" spans="1:6" hidden="1">
      <c r="A64" s="1" t="s">
        <v>48</v>
      </c>
      <c r="B64" s="12">
        <v>1.4019999999999999</v>
      </c>
      <c r="C64" s="12">
        <f t="shared" si="2"/>
        <v>4.0633184825879347</v>
      </c>
      <c r="D64" s="12">
        <v>27150</v>
      </c>
      <c r="E64" s="2">
        <v>0</v>
      </c>
      <c r="F64" s="18">
        <v>1</v>
      </c>
    </row>
    <row r="65" spans="1:6" hidden="1">
      <c r="A65" s="1" t="s">
        <v>50</v>
      </c>
      <c r="B65" s="12">
        <v>-0.33179999999999998</v>
      </c>
      <c r="C65" s="12">
        <f t="shared" si="2"/>
        <v>0.71763083466971733</v>
      </c>
      <c r="D65" s="12">
        <v>0.80530000000000002</v>
      </c>
      <c r="E65" s="2">
        <v>-0.41199999999999998</v>
      </c>
      <c r="F65" s="18">
        <v>0.68030000000000002</v>
      </c>
    </row>
    <row r="66" spans="1:6" hidden="1">
      <c r="A66" s="1" t="s">
        <v>51</v>
      </c>
      <c r="B66" s="12">
        <v>2.198</v>
      </c>
      <c r="C66" s="12">
        <f t="shared" ref="C66:C97" si="3">EXP(B66)</f>
        <v>9.0069815104349136</v>
      </c>
      <c r="D66" s="12">
        <v>1.4410000000000001</v>
      </c>
      <c r="E66" s="2">
        <v>1.526</v>
      </c>
      <c r="F66" s="18">
        <v>0.12709999999999999</v>
      </c>
    </row>
    <row r="67" spans="1:6" hidden="1">
      <c r="A67" s="11" t="s">
        <v>52</v>
      </c>
      <c r="B67" s="12">
        <v>2.0820000000000002E-2</v>
      </c>
      <c r="C67" s="12">
        <f t="shared" si="3"/>
        <v>1.0210382482110385</v>
      </c>
      <c r="D67" s="12">
        <v>0.28699999999999998</v>
      </c>
      <c r="E67" s="2">
        <v>7.2999999999999995E-2</v>
      </c>
      <c r="F67" s="18">
        <v>0.94220000000000004</v>
      </c>
    </row>
    <row r="68" spans="1:6" hidden="1">
      <c r="A68" s="1" t="s">
        <v>53</v>
      </c>
      <c r="B68" s="12">
        <v>-0.1244</v>
      </c>
      <c r="C68" s="12">
        <f t="shared" si="3"/>
        <v>0.88302655960736331</v>
      </c>
      <c r="D68" s="12">
        <v>0.2636</v>
      </c>
      <c r="E68" s="2">
        <v>-0.47199999999999998</v>
      </c>
      <c r="F68" s="18">
        <v>0.63690000000000002</v>
      </c>
    </row>
    <row r="69" spans="1:6" hidden="1">
      <c r="A69" s="11" t="s">
        <v>55</v>
      </c>
      <c r="B69" s="12">
        <v>-8.0350000000000005E-2</v>
      </c>
      <c r="C69" s="12">
        <f t="shared" si="3"/>
        <v>0.92279331219968086</v>
      </c>
      <c r="D69" s="12">
        <v>0.3891</v>
      </c>
      <c r="E69" s="2">
        <v>-0.20599999999999999</v>
      </c>
      <c r="F69" s="18">
        <v>0.83640000000000003</v>
      </c>
    </row>
    <row r="70" spans="1:6" hidden="1">
      <c r="A70" s="11" t="s">
        <v>56</v>
      </c>
      <c r="B70" s="12">
        <v>-0.4007</v>
      </c>
      <c r="C70" s="12">
        <f t="shared" si="3"/>
        <v>0.66985098619351235</v>
      </c>
      <c r="D70" s="12">
        <v>0.31380000000000002</v>
      </c>
      <c r="E70" s="2">
        <v>-1.2769999999999999</v>
      </c>
      <c r="F70" s="18">
        <v>0.2016</v>
      </c>
    </row>
    <row r="71" spans="1:6" hidden="1">
      <c r="A71" s="1" t="s">
        <v>57</v>
      </c>
      <c r="B71" s="12">
        <v>-0.18160000000000001</v>
      </c>
      <c r="C71" s="12">
        <f t="shared" si="3"/>
        <v>0.83393484764890147</v>
      </c>
      <c r="D71" s="12">
        <v>0.25459999999999999</v>
      </c>
      <c r="E71" s="2">
        <v>-0.71299999999999997</v>
      </c>
      <c r="F71" s="18">
        <v>0.47560000000000002</v>
      </c>
    </row>
    <row r="72" spans="1:6" hidden="1">
      <c r="A72" s="11" t="s">
        <v>58</v>
      </c>
      <c r="B72" s="12">
        <v>0.1057</v>
      </c>
      <c r="C72" s="12">
        <f t="shared" si="3"/>
        <v>1.1114883799705606</v>
      </c>
      <c r="D72" s="12">
        <v>0.26340000000000002</v>
      </c>
      <c r="E72" s="2">
        <v>0.40100000000000002</v>
      </c>
      <c r="F72" s="18">
        <v>0.68830000000000002</v>
      </c>
    </row>
    <row r="73" spans="1:6" hidden="1">
      <c r="A73" s="1" t="s">
        <v>59</v>
      </c>
      <c r="B73" s="12">
        <v>-0.90469999999999995</v>
      </c>
      <c r="C73" s="12">
        <f t="shared" si="3"/>
        <v>0.40466326587475515</v>
      </c>
      <c r="D73" s="12">
        <v>0.78910000000000002</v>
      </c>
      <c r="E73" s="2">
        <v>-1.1459999999999999</v>
      </c>
      <c r="F73" s="18">
        <v>0.25159999999999999</v>
      </c>
    </row>
    <row r="74" spans="1:6" hidden="1">
      <c r="A74" s="1" t="s">
        <v>61</v>
      </c>
      <c r="B74" s="12">
        <v>-0.2157</v>
      </c>
      <c r="C74" s="12">
        <f t="shared" si="3"/>
        <v>0.80597705872575642</v>
      </c>
      <c r="D74" s="12">
        <v>0.42120000000000002</v>
      </c>
      <c r="E74" s="2">
        <v>-0.51200000000000001</v>
      </c>
      <c r="F74" s="18">
        <v>0.60850000000000004</v>
      </c>
    </row>
    <row r="75" spans="1:6" hidden="1">
      <c r="A75" s="1" t="s">
        <v>62</v>
      </c>
      <c r="B75" s="12">
        <v>5.815E-2</v>
      </c>
      <c r="C75" s="12">
        <f t="shared" si="3"/>
        <v>1.0598739648820339</v>
      </c>
      <c r="D75" s="12">
        <v>0.35410000000000003</v>
      </c>
      <c r="E75" s="2">
        <v>0.16400000000000001</v>
      </c>
      <c r="F75" s="18">
        <v>0.86960000000000004</v>
      </c>
    </row>
    <row r="76" spans="1:6" hidden="1">
      <c r="A76" s="11" t="s">
        <v>63</v>
      </c>
      <c r="B76" s="12">
        <v>-0.31259999999999999</v>
      </c>
      <c r="C76" s="12">
        <f t="shared" si="3"/>
        <v>0.73154247104170333</v>
      </c>
      <c r="D76" s="12">
        <v>0.50539999999999996</v>
      </c>
      <c r="E76" s="2">
        <v>-0.61899999999999999</v>
      </c>
      <c r="F76" s="18">
        <v>0.53620000000000001</v>
      </c>
    </row>
    <row r="77" spans="1:6" hidden="1">
      <c r="A77" s="1" t="s">
        <v>64</v>
      </c>
      <c r="B77" s="12">
        <v>-0.56469999999999998</v>
      </c>
      <c r="C77" s="12">
        <f t="shared" si="3"/>
        <v>0.56853068038033217</v>
      </c>
      <c r="D77" s="12">
        <v>0.86419999999999997</v>
      </c>
      <c r="E77" s="2">
        <v>-0.65300000000000002</v>
      </c>
      <c r="F77" s="18">
        <v>0.51349999999999996</v>
      </c>
    </row>
    <row r="78" spans="1:6" hidden="1">
      <c r="A78" s="1" t="s">
        <v>66</v>
      </c>
      <c r="B78" s="12">
        <v>-7.6829999999999996E-2</v>
      </c>
      <c r="C78" s="12">
        <f t="shared" si="3"/>
        <v>0.9260472682614751</v>
      </c>
      <c r="D78" s="12">
        <v>0.94579999999999997</v>
      </c>
      <c r="E78" s="2">
        <v>-8.1000000000000003E-2</v>
      </c>
      <c r="F78" s="18">
        <v>0.93530000000000002</v>
      </c>
    </row>
    <row r="79" spans="1:6" hidden="1">
      <c r="A79" s="1" t="s">
        <v>68</v>
      </c>
      <c r="B79" s="12">
        <v>0.68840000000000001</v>
      </c>
      <c r="C79" s="12">
        <f t="shared" si="3"/>
        <v>1.9905281389852771</v>
      </c>
      <c r="D79" s="12">
        <v>0.81740000000000002</v>
      </c>
      <c r="E79" s="2">
        <v>0.84199999999999997</v>
      </c>
      <c r="F79" s="18">
        <v>0.3997</v>
      </c>
    </row>
    <row r="80" spans="1:6" hidden="1">
      <c r="A80" s="11" t="s">
        <v>69</v>
      </c>
      <c r="B80" s="12">
        <v>-0.14949999999999999</v>
      </c>
      <c r="C80" s="12">
        <f t="shared" si="3"/>
        <v>0.86113843801970102</v>
      </c>
      <c r="D80" s="12">
        <v>0.22889999999999999</v>
      </c>
      <c r="E80" s="2">
        <v>-0.65300000000000002</v>
      </c>
      <c r="F80" s="18">
        <v>0.51390000000000002</v>
      </c>
    </row>
    <row r="81" spans="1:6" hidden="1">
      <c r="A81" s="11" t="s">
        <v>71</v>
      </c>
      <c r="B81" s="12">
        <v>-1.553E-2</v>
      </c>
      <c r="C81" s="12">
        <f t="shared" si="3"/>
        <v>0.98458996860960479</v>
      </c>
      <c r="D81" s="12">
        <v>0.51629999999999998</v>
      </c>
      <c r="E81" s="2">
        <v>-0.03</v>
      </c>
      <c r="F81" s="18">
        <v>0.97599999999999998</v>
      </c>
    </row>
    <row r="82" spans="1:6" hidden="1">
      <c r="A82" s="1" t="s">
        <v>73</v>
      </c>
      <c r="B82" s="12">
        <v>-0.22489999999999999</v>
      </c>
      <c r="C82" s="12">
        <f t="shared" si="3"/>
        <v>0.79859607437396718</v>
      </c>
      <c r="D82" s="12">
        <v>0.52829999999999999</v>
      </c>
      <c r="E82" s="2">
        <v>-0.42599999999999999</v>
      </c>
      <c r="F82" s="18">
        <v>0.6704</v>
      </c>
    </row>
    <row r="83" spans="1:6" hidden="1">
      <c r="A83" s="11" t="s">
        <v>76</v>
      </c>
      <c r="B83" s="12">
        <v>1.5760000000000001</v>
      </c>
      <c r="C83" s="12">
        <f t="shared" si="3"/>
        <v>4.8355747759045231</v>
      </c>
      <c r="D83" s="12">
        <v>4.0990000000000002</v>
      </c>
      <c r="E83" s="2">
        <v>0.38500000000000001</v>
      </c>
      <c r="F83" s="18">
        <v>0.70050000000000001</v>
      </c>
    </row>
    <row r="84" spans="1:6" hidden="1">
      <c r="A84" s="1" t="s">
        <v>78</v>
      </c>
      <c r="B84" s="12">
        <v>-0.29330000000000001</v>
      </c>
      <c r="C84" s="12">
        <f t="shared" si="3"/>
        <v>0.74579836762265173</v>
      </c>
      <c r="D84" s="12">
        <v>0.29580000000000001</v>
      </c>
      <c r="E84" s="2">
        <v>-0.99199999999999999</v>
      </c>
      <c r="F84" s="18">
        <v>0.32129999999999997</v>
      </c>
    </row>
    <row r="85" spans="1:6" hidden="1">
      <c r="A85" s="1" t="s">
        <v>80</v>
      </c>
      <c r="B85" s="12">
        <v>1.6500000000000001E-2</v>
      </c>
      <c r="C85" s="12">
        <f t="shared" si="3"/>
        <v>1.0166368767860556</v>
      </c>
      <c r="D85" s="12">
        <v>0.33779999999999999</v>
      </c>
      <c r="E85" s="2">
        <v>4.9000000000000002E-2</v>
      </c>
      <c r="F85" s="18">
        <v>0.96099999999999997</v>
      </c>
    </row>
    <row r="86" spans="1:6" hidden="1">
      <c r="A86" s="11" t="s">
        <v>81</v>
      </c>
      <c r="B86" s="12">
        <v>-0.28920000000000001</v>
      </c>
      <c r="C86" s="12">
        <f t="shared" si="3"/>
        <v>0.7488624179408343</v>
      </c>
      <c r="D86" s="12">
        <v>0.19070000000000001</v>
      </c>
      <c r="E86" s="2">
        <v>-1.516</v>
      </c>
      <c r="F86" s="18">
        <v>0.12939999999999999</v>
      </c>
    </row>
    <row r="87" spans="1:6" hidden="1">
      <c r="A87" s="1" t="s">
        <v>82</v>
      </c>
      <c r="B87" s="12">
        <v>-1.1820000000000001E-2</v>
      </c>
      <c r="C87" s="12">
        <f t="shared" si="3"/>
        <v>0.98824958177796784</v>
      </c>
      <c r="D87" s="12">
        <v>0.63839999999999997</v>
      </c>
      <c r="E87" s="2">
        <v>-1.9E-2</v>
      </c>
      <c r="F87" s="18">
        <v>0.98519999999999996</v>
      </c>
    </row>
    <row r="88" spans="1:6" hidden="1">
      <c r="A88" s="1" t="s">
        <v>83</v>
      </c>
      <c r="B88" s="12">
        <v>-0.29649999999999999</v>
      </c>
      <c r="C88" s="12">
        <f t="shared" si="3"/>
        <v>0.74341562726410437</v>
      </c>
      <c r="D88" s="12">
        <v>0.2445</v>
      </c>
      <c r="E88" s="2">
        <v>-1.212</v>
      </c>
      <c r="F88" s="18">
        <v>0.22539999999999999</v>
      </c>
    </row>
    <row r="89" spans="1:6" hidden="1">
      <c r="A89" s="1" t="s">
        <v>84</v>
      </c>
      <c r="B89" s="12">
        <v>-15.26</v>
      </c>
      <c r="C89" s="12">
        <f t="shared" si="3"/>
        <v>2.3586646932392362E-7</v>
      </c>
      <c r="D89" s="12">
        <v>48200</v>
      </c>
      <c r="E89" s="2">
        <v>0</v>
      </c>
      <c r="F89" s="18">
        <v>0.99970000000000003</v>
      </c>
    </row>
    <row r="90" spans="1:6" hidden="1">
      <c r="A90" s="1" t="s">
        <v>85</v>
      </c>
      <c r="B90" s="12">
        <v>-0.21290000000000001</v>
      </c>
      <c r="C90" s="12">
        <f t="shared" si="3"/>
        <v>0.8082369568711254</v>
      </c>
      <c r="D90" s="12">
        <v>1.5940000000000001</v>
      </c>
      <c r="E90" s="2">
        <v>-0.13400000000000001</v>
      </c>
      <c r="F90" s="18">
        <v>0.89380000000000004</v>
      </c>
    </row>
    <row r="91" spans="1:6" hidden="1">
      <c r="A91" s="1" t="s">
        <v>86</v>
      </c>
      <c r="B91" s="12">
        <v>0.13500000000000001</v>
      </c>
      <c r="C91" s="12">
        <f t="shared" si="3"/>
        <v>1.1445367843513146</v>
      </c>
      <c r="D91" s="12">
        <v>0.43909999999999999</v>
      </c>
      <c r="E91" s="2">
        <v>0.307</v>
      </c>
      <c r="F91" s="18">
        <v>0.75849999999999995</v>
      </c>
    </row>
    <row r="92" spans="1:6" hidden="1">
      <c r="A92" s="1" t="s">
        <v>88</v>
      </c>
      <c r="B92" s="12">
        <v>-0.52639999999999998</v>
      </c>
      <c r="C92" s="12">
        <f t="shared" si="3"/>
        <v>0.59072776631051527</v>
      </c>
      <c r="D92" s="12">
        <v>0.41120000000000001</v>
      </c>
      <c r="E92" s="2">
        <v>-1.28</v>
      </c>
      <c r="F92" s="18">
        <v>0.20039999999999999</v>
      </c>
    </row>
    <row r="93" spans="1:6" hidden="1">
      <c r="A93" s="1" t="s">
        <v>89</v>
      </c>
      <c r="B93" s="12">
        <v>-21.43</v>
      </c>
      <c r="C93" s="12">
        <f t="shared" si="3"/>
        <v>4.9325245196458196E-10</v>
      </c>
      <c r="D93" s="12">
        <v>13320</v>
      </c>
      <c r="E93" s="2">
        <v>-2E-3</v>
      </c>
      <c r="F93" s="18">
        <v>0.99870000000000003</v>
      </c>
    </row>
    <row r="94" spans="1:6" hidden="1">
      <c r="A94" s="1" t="s">
        <v>4</v>
      </c>
      <c r="B94" s="12">
        <v>-24.15</v>
      </c>
      <c r="C94" s="12">
        <f t="shared" si="3"/>
        <v>3.2492884143387998E-11</v>
      </c>
      <c r="D94" s="12">
        <v>765.8</v>
      </c>
      <c r="E94" s="2">
        <v>-3.2000000000000001E-2</v>
      </c>
      <c r="F94" s="18">
        <v>0.9748</v>
      </c>
    </row>
    <row r="95" spans="1:6" hidden="1">
      <c r="A95" s="1" t="s">
        <v>5</v>
      </c>
      <c r="B95" s="12">
        <v>-24.27</v>
      </c>
      <c r="C95" s="12">
        <f t="shared" si="3"/>
        <v>2.8818602994653656E-11</v>
      </c>
      <c r="D95" s="12">
        <v>659.9</v>
      </c>
      <c r="E95" s="2">
        <v>-3.6999999999999998E-2</v>
      </c>
      <c r="F95" s="18">
        <v>0.97070000000000001</v>
      </c>
    </row>
    <row r="96" spans="1:6" hidden="1">
      <c r="A96" s="1" t="s">
        <v>10</v>
      </c>
      <c r="B96" s="12">
        <v>1.925</v>
      </c>
      <c r="C96" s="12">
        <f t="shared" si="3"/>
        <v>6.8551486658991783</v>
      </c>
      <c r="D96" s="12">
        <v>1.0229999999999999</v>
      </c>
      <c r="E96" s="2">
        <v>1.8819999999999999</v>
      </c>
      <c r="F96" s="18">
        <v>5.9900000000000002E-2</v>
      </c>
    </row>
    <row r="97" spans="1:6" hidden="1">
      <c r="A97" s="1" t="s">
        <v>13</v>
      </c>
      <c r="B97" s="12">
        <v>-23.15</v>
      </c>
      <c r="C97" s="12">
        <f t="shared" si="3"/>
        <v>8.8324816521196642E-11</v>
      </c>
      <c r="D97" s="12">
        <v>884.2</v>
      </c>
      <c r="E97" s="2">
        <v>-2.5999999999999999E-2</v>
      </c>
      <c r="F97" s="18">
        <v>0.97909999999999997</v>
      </c>
    </row>
    <row r="98" spans="1:6" hidden="1">
      <c r="A98" s="1" t="s">
        <v>15</v>
      </c>
      <c r="B98" s="12">
        <v>-21.85</v>
      </c>
      <c r="C98" s="12">
        <f t="shared" ref="C98" si="4">EXP(B98)</f>
        <v>3.240899549293071E-10</v>
      </c>
      <c r="D98" s="12">
        <v>1801</v>
      </c>
      <c r="E98" s="2">
        <v>-1.2E-2</v>
      </c>
      <c r="F98" s="18">
        <v>0.99029999999999996</v>
      </c>
    </row>
  </sheetData>
  <autoFilter ref="A1:H98" xr:uid="{10666F38-8901-0443-8989-34426375F3A8}">
    <filterColumn colId="6">
      <customFilters>
        <customFilter operator="notEqual" val=" "/>
      </customFilters>
    </filterColumn>
  </autoFilter>
  <sortState xmlns:xlrd2="http://schemas.microsoft.com/office/spreadsheetml/2017/richdata2" ref="A2:H98">
    <sortCondition descending="1" ref="H2:H98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6AF5-83FE-0149-9DB4-0F6291F49113}">
  <dimension ref="A1:H99"/>
  <sheetViews>
    <sheetView topLeftCell="A14" workbookViewId="0">
      <selection sqref="A1:G1"/>
    </sheetView>
  </sheetViews>
  <sheetFormatPr baseColWidth="10" defaultRowHeight="14"/>
  <cols>
    <col min="1" max="1" width="46.6640625" style="2" customWidth="1"/>
    <col min="2" max="2" width="11" style="14" bestFit="1" customWidth="1"/>
    <col min="3" max="3" width="10.83203125" style="14" customWidth="1"/>
    <col min="4" max="4" width="12.5" style="14" bestFit="1" customWidth="1"/>
    <col min="5" max="5" width="11" style="15" bestFit="1" customWidth="1"/>
    <col min="6" max="6" width="14" style="12" customWidth="1"/>
    <col min="7" max="7" width="14.5" style="2" customWidth="1"/>
    <col min="8" max="16384" width="10.83203125" style="2"/>
  </cols>
  <sheetData>
    <row r="1" spans="1:8">
      <c r="A1" s="8" t="s">
        <v>1</v>
      </c>
      <c r="B1" s="9" t="s">
        <v>0</v>
      </c>
      <c r="C1" s="9" t="s">
        <v>129</v>
      </c>
      <c r="D1" s="9" t="s">
        <v>2</v>
      </c>
      <c r="E1" s="9" t="s">
        <v>3</v>
      </c>
      <c r="F1" s="19" t="s">
        <v>99</v>
      </c>
      <c r="G1" s="9" t="s">
        <v>105</v>
      </c>
      <c r="H1" s="9" t="s">
        <v>134</v>
      </c>
    </row>
    <row r="2" spans="1:8">
      <c r="A2" s="13" t="s">
        <v>107</v>
      </c>
      <c r="B2" s="14">
        <v>2.0750000000000002</v>
      </c>
      <c r="C2" s="14">
        <f t="shared" ref="C2:C33" si="0">EXP(B2)</f>
        <v>7.9645464590347732</v>
      </c>
      <c r="D2" s="14">
        <v>0.26300000000000001</v>
      </c>
      <c r="E2" s="2">
        <v>7.89</v>
      </c>
      <c r="F2" s="12">
        <v>3.0299999999999999E-15</v>
      </c>
      <c r="G2" s="2" t="s">
        <v>103</v>
      </c>
      <c r="H2" s="2" t="str">
        <f>IF(C2&gt;1, "Y", "N")</f>
        <v>Y</v>
      </c>
    </row>
    <row r="3" spans="1:8">
      <c r="A3" s="13" t="s">
        <v>4</v>
      </c>
      <c r="B3" s="14">
        <v>-24.15</v>
      </c>
      <c r="C3" s="14">
        <f t="shared" si="0"/>
        <v>3.2492884143387998E-11</v>
      </c>
      <c r="D3" s="14">
        <v>765.8</v>
      </c>
      <c r="E3" s="2">
        <v>-3.2000000000000001E-2</v>
      </c>
      <c r="F3" s="12">
        <v>0.9748</v>
      </c>
    </row>
    <row r="4" spans="1:8">
      <c r="A4" s="13" t="s">
        <v>5</v>
      </c>
      <c r="B4" s="14">
        <v>-24.27</v>
      </c>
      <c r="C4" s="14">
        <f t="shared" si="0"/>
        <v>2.8818602994653656E-11</v>
      </c>
      <c r="D4" s="14">
        <v>659.9</v>
      </c>
      <c r="E4" s="2">
        <v>-3.6999999999999998E-2</v>
      </c>
      <c r="F4" s="12">
        <v>0.97070000000000001</v>
      </c>
    </row>
    <row r="5" spans="1:8">
      <c r="A5" s="13" t="s">
        <v>6</v>
      </c>
      <c r="B5" s="14">
        <v>25.99</v>
      </c>
      <c r="C5" s="14">
        <f t="shared" si="0"/>
        <v>193782067274.81113</v>
      </c>
      <c r="D5" s="14">
        <v>501.3</v>
      </c>
      <c r="E5" s="2">
        <v>5.1999999999999998E-2</v>
      </c>
      <c r="F5" s="12">
        <v>0.95860000000000001</v>
      </c>
    </row>
    <row r="6" spans="1:8">
      <c r="A6" s="13" t="s">
        <v>7</v>
      </c>
      <c r="B6" s="14">
        <v>-1.1579999999999999</v>
      </c>
      <c r="C6" s="14">
        <f t="shared" si="0"/>
        <v>0.31411378063492296</v>
      </c>
      <c r="D6" s="14">
        <v>0.19589999999999999</v>
      </c>
      <c r="E6" s="2">
        <v>-5.9119999999999999</v>
      </c>
      <c r="F6" s="12">
        <v>3.3799999999999999E-9</v>
      </c>
      <c r="G6" s="2" t="s">
        <v>103</v>
      </c>
      <c r="H6" s="2" t="str">
        <f t="shared" ref="H6:H8" si="1">IF(C6&gt;1, "Y", "N")</f>
        <v>N</v>
      </c>
    </row>
    <row r="7" spans="1:8">
      <c r="A7" s="13" t="s">
        <v>8</v>
      </c>
      <c r="B7" s="14">
        <v>-3.887</v>
      </c>
      <c r="C7" s="14">
        <f t="shared" si="0"/>
        <v>2.0506774172181743E-2</v>
      </c>
      <c r="D7" s="14">
        <v>0.77980000000000005</v>
      </c>
      <c r="E7" s="2">
        <v>-4.984</v>
      </c>
      <c r="F7" s="12">
        <v>6.2200000000000004E-7</v>
      </c>
      <c r="G7" s="2" t="s">
        <v>103</v>
      </c>
      <c r="H7" s="2" t="str">
        <f t="shared" si="1"/>
        <v>N</v>
      </c>
    </row>
    <row r="8" spans="1:8">
      <c r="A8" s="13" t="s">
        <v>9</v>
      </c>
      <c r="B8" s="14">
        <v>-6.673</v>
      </c>
      <c r="C8" s="14">
        <f t="shared" si="0"/>
        <v>1.2645992568450805E-3</v>
      </c>
      <c r="D8" s="14">
        <v>0.30869999999999997</v>
      </c>
      <c r="E8" s="2">
        <v>-21.617999999999999</v>
      </c>
      <c r="F8" s="12" t="s">
        <v>102</v>
      </c>
      <c r="G8" s="2" t="s">
        <v>103</v>
      </c>
      <c r="H8" s="2" t="str">
        <f t="shared" si="1"/>
        <v>N</v>
      </c>
    </row>
    <row r="9" spans="1:8">
      <c r="A9" s="13" t="s">
        <v>10</v>
      </c>
      <c r="B9" s="14">
        <v>1.925</v>
      </c>
      <c r="C9" s="14">
        <f t="shared" si="0"/>
        <v>6.8551486658991783</v>
      </c>
      <c r="D9" s="14">
        <v>1.0229999999999999</v>
      </c>
      <c r="E9" s="2">
        <v>1.8819999999999999</v>
      </c>
      <c r="F9" s="12">
        <v>5.9900000000000002E-2</v>
      </c>
      <c r="G9" s="2" t="s">
        <v>110</v>
      </c>
    </row>
    <row r="10" spans="1:8">
      <c r="A10" s="13" t="s">
        <v>11</v>
      </c>
      <c r="B10" s="14">
        <v>7.5720000000000001</v>
      </c>
      <c r="C10" s="14">
        <f t="shared" si="0"/>
        <v>1943.0224429892489</v>
      </c>
      <c r="D10" s="14">
        <v>0.50970000000000004</v>
      </c>
      <c r="E10" s="2">
        <v>14.856999999999999</v>
      </c>
      <c r="F10" s="12" t="s">
        <v>102</v>
      </c>
      <c r="G10" s="2" t="s">
        <v>103</v>
      </c>
      <c r="H10" s="2" t="str">
        <f t="shared" ref="H10:H11" si="2">IF(C10&gt;1, "Y", "N")</f>
        <v>Y</v>
      </c>
    </row>
    <row r="11" spans="1:8">
      <c r="A11" s="13" t="s">
        <v>12</v>
      </c>
      <c r="B11" s="14">
        <v>-6.2169999999999996</v>
      </c>
      <c r="C11" s="14">
        <f t="shared" si="0"/>
        <v>1.9952219134787581E-3</v>
      </c>
      <c r="D11" s="14">
        <v>0.73550000000000004</v>
      </c>
      <c r="E11" s="2">
        <v>-8.4529999999999994</v>
      </c>
      <c r="F11" s="12" t="s">
        <v>102</v>
      </c>
      <c r="G11" s="2" t="s">
        <v>103</v>
      </c>
      <c r="H11" s="2" t="str">
        <f t="shared" si="2"/>
        <v>N</v>
      </c>
    </row>
    <row r="12" spans="1:8">
      <c r="A12" s="13" t="s">
        <v>13</v>
      </c>
      <c r="B12" s="14">
        <v>-23.15</v>
      </c>
      <c r="C12" s="14">
        <f t="shared" si="0"/>
        <v>8.8324816521196642E-11</v>
      </c>
      <c r="D12" s="14">
        <v>884.2</v>
      </c>
      <c r="E12" s="2">
        <v>-2.5999999999999999E-2</v>
      </c>
      <c r="F12" s="12">
        <v>0.97909999999999997</v>
      </c>
    </row>
    <row r="13" spans="1:8">
      <c r="A13" s="13" t="s">
        <v>14</v>
      </c>
      <c r="B13" s="14">
        <v>-3.0459999999999998</v>
      </c>
      <c r="C13" s="14">
        <f t="shared" si="0"/>
        <v>4.7548739465768049E-2</v>
      </c>
      <c r="D13" s="14">
        <v>0.14130000000000001</v>
      </c>
      <c r="E13" s="2">
        <v>-21.550999999999998</v>
      </c>
      <c r="F13" s="12" t="s">
        <v>102</v>
      </c>
      <c r="G13" s="2" t="s">
        <v>103</v>
      </c>
      <c r="H13" s="2" t="str">
        <f>IF(C13&gt;1, "Y", "N")</f>
        <v>N</v>
      </c>
    </row>
    <row r="14" spans="1:8">
      <c r="A14" s="13" t="s">
        <v>15</v>
      </c>
      <c r="B14" s="14">
        <v>-21.85</v>
      </c>
      <c r="C14" s="14">
        <f t="shared" si="0"/>
        <v>3.240899549293071E-10</v>
      </c>
      <c r="D14" s="14">
        <v>1801</v>
      </c>
      <c r="E14" s="2">
        <v>-1.2E-2</v>
      </c>
      <c r="F14" s="12">
        <v>0.99029999999999996</v>
      </c>
    </row>
    <row r="15" spans="1:8">
      <c r="A15" s="13" t="s">
        <v>16</v>
      </c>
      <c r="B15" s="14">
        <v>2.4550000000000001</v>
      </c>
      <c r="C15" s="14">
        <f t="shared" si="0"/>
        <v>11.646433548879468</v>
      </c>
      <c r="D15" s="14">
        <v>0.2576</v>
      </c>
      <c r="E15" s="2">
        <v>9.5329999999999995</v>
      </c>
      <c r="F15" s="12" t="s">
        <v>102</v>
      </c>
      <c r="G15" s="2" t="s">
        <v>103</v>
      </c>
      <c r="H15" s="2" t="str">
        <f t="shared" ref="H15:H16" si="3">IF(C15&gt;1, "Y", "N")</f>
        <v>Y</v>
      </c>
    </row>
    <row r="16" spans="1:8">
      <c r="A16" s="13" t="s">
        <v>17</v>
      </c>
      <c r="B16" s="14">
        <v>1.216</v>
      </c>
      <c r="C16" s="14">
        <f t="shared" si="0"/>
        <v>3.3736660440948167</v>
      </c>
      <c r="D16" s="14">
        <v>0.15540000000000001</v>
      </c>
      <c r="E16" s="2">
        <v>7.827</v>
      </c>
      <c r="F16" s="12">
        <v>4.9900000000000002E-15</v>
      </c>
      <c r="G16" s="2" t="s">
        <v>103</v>
      </c>
      <c r="H16" s="2" t="str">
        <f t="shared" si="3"/>
        <v>Y</v>
      </c>
    </row>
    <row r="17" spans="1:8">
      <c r="A17" s="13" t="s">
        <v>108</v>
      </c>
      <c r="B17" s="14">
        <v>-3.8630000000000001E-3</v>
      </c>
      <c r="C17" s="14">
        <f t="shared" si="0"/>
        <v>0.99614445178599542</v>
      </c>
      <c r="D17" s="14">
        <v>2.1930000000000001E-3</v>
      </c>
      <c r="E17" s="2">
        <v>-1.7609999999999999</v>
      </c>
      <c r="F17" s="12">
        <v>7.8200000000000006E-2</v>
      </c>
      <c r="G17" s="2" t="s">
        <v>110</v>
      </c>
    </row>
    <row r="18" spans="1:8">
      <c r="A18" s="13" t="s">
        <v>18</v>
      </c>
      <c r="B18" s="14">
        <v>-1.335</v>
      </c>
      <c r="C18" s="14">
        <f t="shared" si="0"/>
        <v>0.26315817545602871</v>
      </c>
      <c r="D18" s="14">
        <v>0.14349999999999999</v>
      </c>
      <c r="E18" s="2">
        <v>-9.3049999999999997</v>
      </c>
      <c r="F18" s="12" t="s">
        <v>102</v>
      </c>
      <c r="G18" s="2" t="s">
        <v>103</v>
      </c>
      <c r="H18" s="2" t="str">
        <f>IF(C18&gt;1, "Y", "N")</f>
        <v>N</v>
      </c>
    </row>
    <row r="19" spans="1:8">
      <c r="A19" s="13" t="s">
        <v>19</v>
      </c>
      <c r="B19" s="14">
        <v>0.29620000000000002</v>
      </c>
      <c r="C19" s="14">
        <f t="shared" si="0"/>
        <v>1.3447390777546151</v>
      </c>
      <c r="D19" s="14">
        <v>0.69620000000000004</v>
      </c>
      <c r="E19" s="2">
        <v>0.42499999999999999</v>
      </c>
      <c r="F19" s="12">
        <v>0.67049999999999998</v>
      </c>
    </row>
    <row r="20" spans="1:8">
      <c r="A20" s="13" t="s">
        <v>20</v>
      </c>
      <c r="B20" s="14">
        <v>-9.0840000000000004E-2</v>
      </c>
      <c r="C20" s="14">
        <f t="shared" si="0"/>
        <v>0.91316380542025966</v>
      </c>
      <c r="D20" s="14">
        <v>0.23269999999999999</v>
      </c>
      <c r="E20" s="2">
        <v>-0.39</v>
      </c>
      <c r="F20" s="12">
        <v>0.69620000000000004</v>
      </c>
    </row>
    <row r="21" spans="1:8">
      <c r="A21" s="13" t="s">
        <v>21</v>
      </c>
      <c r="B21" s="14">
        <v>0.1144</v>
      </c>
      <c r="C21" s="14">
        <f t="shared" si="0"/>
        <v>1.1212005154062326</v>
      </c>
      <c r="D21" s="14">
        <v>0.1431</v>
      </c>
      <c r="E21" s="2">
        <v>0.8</v>
      </c>
      <c r="F21" s="12">
        <v>0.42380000000000001</v>
      </c>
    </row>
    <row r="22" spans="1:8">
      <c r="A22" s="13" t="s">
        <v>22</v>
      </c>
      <c r="B22" s="14">
        <v>-0.37290000000000001</v>
      </c>
      <c r="C22" s="14">
        <f t="shared" si="0"/>
        <v>0.68873410281068115</v>
      </c>
      <c r="D22" s="14">
        <v>6073</v>
      </c>
      <c r="E22" s="2">
        <v>0</v>
      </c>
      <c r="F22" s="12">
        <v>1</v>
      </c>
    </row>
    <row r="23" spans="1:8">
      <c r="A23" s="13" t="s">
        <v>23</v>
      </c>
      <c r="B23" s="14">
        <v>-2.0109999999999999E-2</v>
      </c>
      <c r="C23" s="14">
        <f t="shared" si="0"/>
        <v>0.98009085738267609</v>
      </c>
      <c r="D23" s="14">
        <v>0.16109999999999999</v>
      </c>
      <c r="E23" s="2">
        <v>-0.125</v>
      </c>
      <c r="F23" s="12">
        <v>0.90069999999999995</v>
      </c>
    </row>
    <row r="24" spans="1:8">
      <c r="A24" s="13" t="s">
        <v>24</v>
      </c>
      <c r="B24" s="14">
        <v>-0.51519999999999999</v>
      </c>
      <c r="C24" s="14">
        <f t="shared" si="0"/>
        <v>0.59738110644852915</v>
      </c>
      <c r="D24" s="14">
        <v>0.48259999999999997</v>
      </c>
      <c r="E24" s="2">
        <v>-1.0680000000000001</v>
      </c>
      <c r="F24" s="12">
        <v>0.28570000000000001</v>
      </c>
    </row>
    <row r="25" spans="1:8">
      <c r="A25" s="13" t="s">
        <v>25</v>
      </c>
      <c r="B25" s="14">
        <v>-15.71</v>
      </c>
      <c r="C25" s="14">
        <f t="shared" si="0"/>
        <v>1.5039510086456694E-7</v>
      </c>
      <c r="D25" s="14">
        <v>4020</v>
      </c>
      <c r="E25" s="2">
        <v>-4.0000000000000001E-3</v>
      </c>
      <c r="F25" s="12">
        <v>0.99690000000000001</v>
      </c>
    </row>
    <row r="26" spans="1:8">
      <c r="A26" s="13" t="s">
        <v>26</v>
      </c>
      <c r="B26" s="14">
        <v>-1.4419999999999999</v>
      </c>
      <c r="C26" s="14">
        <f t="shared" si="0"/>
        <v>0.2364543767045291</v>
      </c>
      <c r="D26" s="14">
        <v>0.22750000000000001</v>
      </c>
      <c r="E26" s="2">
        <v>-6.3390000000000004</v>
      </c>
      <c r="F26" s="12">
        <v>2.31E-10</v>
      </c>
      <c r="G26" s="2" t="s">
        <v>103</v>
      </c>
      <c r="H26" s="2" t="str">
        <f>IF(C26&gt;1, "Y", "N")</f>
        <v>N</v>
      </c>
    </row>
    <row r="27" spans="1:8">
      <c r="A27" s="13" t="s">
        <v>27</v>
      </c>
      <c r="B27" s="14">
        <v>-20.98</v>
      </c>
      <c r="C27" s="14">
        <f t="shared" si="0"/>
        <v>7.7357383093895748E-10</v>
      </c>
      <c r="D27" s="14">
        <v>3224</v>
      </c>
      <c r="E27" s="2">
        <v>-7.0000000000000001E-3</v>
      </c>
      <c r="F27" s="12">
        <v>0.99480000000000002</v>
      </c>
    </row>
    <row r="28" spans="1:8">
      <c r="A28" s="13" t="s">
        <v>28</v>
      </c>
      <c r="B28" s="14">
        <v>-3.7679999999999998E-2</v>
      </c>
      <c r="C28" s="14">
        <f t="shared" si="0"/>
        <v>0.96302105832844542</v>
      </c>
      <c r="D28" s="14">
        <v>4605</v>
      </c>
      <c r="E28" s="2">
        <v>0</v>
      </c>
      <c r="F28" s="12">
        <v>1</v>
      </c>
    </row>
    <row r="29" spans="1:8">
      <c r="A29" s="13" t="s">
        <v>29</v>
      </c>
      <c r="B29" s="14">
        <v>9.2490000000000003E-2</v>
      </c>
      <c r="C29" s="14">
        <f t="shared" si="0"/>
        <v>1.0969021724837338</v>
      </c>
      <c r="D29" s="14">
        <v>0.32869999999999999</v>
      </c>
      <c r="E29" s="2">
        <v>0.28100000000000003</v>
      </c>
      <c r="F29" s="12">
        <v>0.77839999999999998</v>
      </c>
    </row>
    <row r="30" spans="1:8">
      <c r="A30" s="13" t="s">
        <v>30</v>
      </c>
      <c r="B30" s="14">
        <v>0.18540000000000001</v>
      </c>
      <c r="C30" s="14">
        <f t="shared" si="0"/>
        <v>1.2036998237740573</v>
      </c>
      <c r="D30" s="14">
        <v>0.16689999999999999</v>
      </c>
      <c r="E30" s="2">
        <v>1.111</v>
      </c>
      <c r="F30" s="12">
        <v>0.26679999999999998</v>
      </c>
    </row>
    <row r="31" spans="1:8">
      <c r="A31" s="13" t="s">
        <v>31</v>
      </c>
      <c r="B31" s="14">
        <v>5.5419999999999998</v>
      </c>
      <c r="C31" s="14">
        <f t="shared" si="0"/>
        <v>255.18786515321113</v>
      </c>
      <c r="D31" s="14">
        <v>1.359</v>
      </c>
      <c r="E31" s="2">
        <v>4.0789999999999997</v>
      </c>
      <c r="F31" s="12">
        <v>4.5300000000000003E-5</v>
      </c>
      <c r="G31" s="2" t="s">
        <v>103</v>
      </c>
      <c r="H31" s="2" t="str">
        <f>IF(C31&gt;1, "Y", "N")</f>
        <v>Y</v>
      </c>
    </row>
    <row r="32" spans="1:8">
      <c r="A32" s="13" t="s">
        <v>32</v>
      </c>
      <c r="B32" s="14">
        <v>-12.45</v>
      </c>
      <c r="C32" s="14">
        <f t="shared" si="0"/>
        <v>3.9177227660243348E-6</v>
      </c>
      <c r="D32" s="14">
        <v>5160</v>
      </c>
      <c r="E32" s="2">
        <v>-2E-3</v>
      </c>
      <c r="F32" s="12">
        <v>0.99809999999999999</v>
      </c>
    </row>
    <row r="33" spans="1:8">
      <c r="A33" s="13" t="s">
        <v>33</v>
      </c>
      <c r="B33" s="14">
        <v>-0.1376</v>
      </c>
      <c r="C33" s="14">
        <f t="shared" si="0"/>
        <v>0.87144720091968464</v>
      </c>
      <c r="D33" s="14">
        <v>5193</v>
      </c>
      <c r="E33" s="2">
        <v>0</v>
      </c>
      <c r="F33" s="12">
        <v>1</v>
      </c>
    </row>
    <row r="34" spans="1:8">
      <c r="A34" s="13" t="s">
        <v>34</v>
      </c>
      <c r="B34" s="14">
        <v>-0.31259999999999999</v>
      </c>
      <c r="C34" s="14">
        <f t="shared" ref="C34:C65" si="4">EXP(B34)</f>
        <v>0.73154247104170333</v>
      </c>
      <c r="D34" s="14">
        <v>0.3735</v>
      </c>
      <c r="E34" s="2">
        <v>-0.83699999999999997</v>
      </c>
      <c r="F34" s="12">
        <v>0.4027</v>
      </c>
    </row>
    <row r="35" spans="1:8">
      <c r="A35" s="13" t="s">
        <v>35</v>
      </c>
      <c r="B35" s="14">
        <v>2.0830000000000002</v>
      </c>
      <c r="C35" s="14">
        <f t="shared" si="4"/>
        <v>8.0285183771964981</v>
      </c>
      <c r="D35" s="14">
        <v>10.72</v>
      </c>
      <c r="E35" s="2">
        <v>0.19400000000000001</v>
      </c>
      <c r="F35" s="12">
        <v>0.84599999999999997</v>
      </c>
    </row>
    <row r="36" spans="1:8">
      <c r="A36" s="13" t="s">
        <v>36</v>
      </c>
      <c r="B36" s="14">
        <v>-0.43480000000000002</v>
      </c>
      <c r="C36" s="14">
        <f t="shared" si="4"/>
        <v>0.64739413295760662</v>
      </c>
      <c r="D36" s="14">
        <v>1.794</v>
      </c>
      <c r="E36" s="2">
        <v>-0.24199999999999999</v>
      </c>
      <c r="F36" s="12">
        <v>0.8085</v>
      </c>
    </row>
    <row r="37" spans="1:8">
      <c r="A37" s="13" t="s">
        <v>37</v>
      </c>
      <c r="B37" s="14">
        <v>0.1149</v>
      </c>
      <c r="C37" s="14">
        <f t="shared" si="4"/>
        <v>1.1217612558373613</v>
      </c>
      <c r="D37" s="14">
        <v>0.38190000000000002</v>
      </c>
      <c r="E37" s="2">
        <v>0.30099999999999999</v>
      </c>
      <c r="F37" s="12">
        <v>0.76359999999999995</v>
      </c>
    </row>
    <row r="38" spans="1:8">
      <c r="A38" s="13" t="s">
        <v>38</v>
      </c>
      <c r="B38" s="14">
        <v>0.105</v>
      </c>
      <c r="C38" s="14">
        <f t="shared" si="4"/>
        <v>1.1107106103557052</v>
      </c>
      <c r="D38" s="14">
        <v>24910</v>
      </c>
      <c r="E38" s="2">
        <v>0</v>
      </c>
      <c r="F38" s="12">
        <v>1</v>
      </c>
    </row>
    <row r="39" spans="1:8">
      <c r="A39" s="13" t="s">
        <v>39</v>
      </c>
      <c r="B39" s="14">
        <v>0.5998</v>
      </c>
      <c r="C39" s="14">
        <f t="shared" si="4"/>
        <v>1.8217544130703776</v>
      </c>
      <c r="D39" s="14">
        <v>0.60409999999999997</v>
      </c>
      <c r="E39" s="2">
        <v>0.99299999999999999</v>
      </c>
      <c r="F39" s="12">
        <v>0.32079999999999997</v>
      </c>
    </row>
    <row r="40" spans="1:8">
      <c r="A40" s="13" t="s">
        <v>41</v>
      </c>
      <c r="B40" s="14">
        <v>0.1162</v>
      </c>
      <c r="C40" s="14">
        <f t="shared" si="4"/>
        <v>1.1232204937690962</v>
      </c>
      <c r="D40" s="14">
        <v>0.25669999999999998</v>
      </c>
      <c r="E40" s="2">
        <v>0.45200000000000001</v>
      </c>
      <c r="F40" s="12">
        <v>0.65090000000000003</v>
      </c>
    </row>
    <row r="41" spans="1:8">
      <c r="A41" s="13" t="s">
        <v>42</v>
      </c>
      <c r="B41" s="14">
        <v>9.9030000000000007E-2</v>
      </c>
      <c r="C41" s="14">
        <f t="shared" si="4"/>
        <v>1.1040994220447036</v>
      </c>
      <c r="D41" s="14">
        <v>0.5867</v>
      </c>
      <c r="E41" s="2">
        <v>0.16900000000000001</v>
      </c>
      <c r="F41" s="12">
        <v>0.86599999999999999</v>
      </c>
    </row>
    <row r="42" spans="1:8">
      <c r="A42" s="13" t="s">
        <v>43</v>
      </c>
      <c r="B42" s="14">
        <v>0.30430000000000001</v>
      </c>
      <c r="C42" s="14">
        <f t="shared" si="4"/>
        <v>1.3556756977997053</v>
      </c>
      <c r="D42" s="14">
        <v>0.34350000000000003</v>
      </c>
      <c r="E42" s="2">
        <v>0.88600000000000001</v>
      </c>
      <c r="F42" s="12">
        <v>0.37559999999999999</v>
      </c>
    </row>
    <row r="43" spans="1:8">
      <c r="A43" s="13" t="s">
        <v>44</v>
      </c>
      <c r="B43" s="14">
        <v>0.62890000000000001</v>
      </c>
      <c r="C43" s="14">
        <f t="shared" si="4"/>
        <v>1.8755463431651507</v>
      </c>
      <c r="D43" s="14">
        <v>0.70099999999999996</v>
      </c>
      <c r="E43" s="2">
        <v>0.89700000000000002</v>
      </c>
      <c r="F43" s="12">
        <v>0.36969999999999997</v>
      </c>
    </row>
    <row r="44" spans="1:8">
      <c r="A44" s="13" t="s">
        <v>45</v>
      </c>
      <c r="B44" s="14">
        <v>-0.24640000000000001</v>
      </c>
      <c r="C44" s="14">
        <f t="shared" si="4"/>
        <v>0.78160951858094541</v>
      </c>
      <c r="D44" s="14">
        <v>0.73650000000000004</v>
      </c>
      <c r="E44" s="2">
        <v>-0.33500000000000002</v>
      </c>
      <c r="F44" s="12">
        <v>0.73799999999999999</v>
      </c>
    </row>
    <row r="45" spans="1:8">
      <c r="A45" s="13" t="s">
        <v>46</v>
      </c>
      <c r="B45" s="14">
        <v>-7.2370000000000004E-2</v>
      </c>
      <c r="C45" s="14">
        <f t="shared" si="4"/>
        <v>0.93018666306674047</v>
      </c>
      <c r="D45" s="14">
        <v>0.26750000000000002</v>
      </c>
      <c r="E45" s="2">
        <v>-0.27100000000000002</v>
      </c>
      <c r="F45" s="12">
        <v>0.78669999999999995</v>
      </c>
    </row>
    <row r="46" spans="1:8">
      <c r="A46" s="13" t="s">
        <v>47</v>
      </c>
      <c r="B46" s="14">
        <v>-7.1480000000000002E-2</v>
      </c>
      <c r="C46" s="14">
        <f t="shared" si="4"/>
        <v>0.93101489770661416</v>
      </c>
      <c r="D46" s="14">
        <v>0.29110000000000003</v>
      </c>
      <c r="E46" s="2">
        <v>-0.246</v>
      </c>
      <c r="F46" s="12">
        <v>0.80600000000000005</v>
      </c>
    </row>
    <row r="47" spans="1:8">
      <c r="A47" s="13" t="s">
        <v>48</v>
      </c>
      <c r="B47" s="14">
        <v>1.583</v>
      </c>
      <c r="C47" s="14">
        <f t="shared" si="4"/>
        <v>4.8695425478359926</v>
      </c>
      <c r="D47" s="14">
        <v>27150</v>
      </c>
      <c r="E47" s="2">
        <v>0</v>
      </c>
      <c r="F47" s="12">
        <v>1</v>
      </c>
    </row>
    <row r="48" spans="1:8">
      <c r="A48" s="13" t="s">
        <v>49</v>
      </c>
      <c r="B48" s="14">
        <v>-1.1060000000000001</v>
      </c>
      <c r="C48" s="14">
        <f t="shared" si="4"/>
        <v>0.33087983690999206</v>
      </c>
      <c r="D48" s="14">
        <v>0.55740000000000001</v>
      </c>
      <c r="E48" s="6">
        <v>-1.9830000000000001</v>
      </c>
      <c r="F48" s="12">
        <v>4.7300000000000002E-2</v>
      </c>
      <c r="G48" s="2" t="s">
        <v>112</v>
      </c>
      <c r="H48" s="2" t="str">
        <f>IF(C48&gt;1, "Y", "N")</f>
        <v>N</v>
      </c>
    </row>
    <row r="49" spans="1:8">
      <c r="A49" s="13" t="s">
        <v>50</v>
      </c>
      <c r="B49" s="14">
        <v>-0.1502</v>
      </c>
      <c r="C49" s="14">
        <f t="shared" si="4"/>
        <v>0.86053585204278482</v>
      </c>
      <c r="D49" s="14">
        <v>0.82069999999999999</v>
      </c>
      <c r="E49" s="2">
        <v>-0.183</v>
      </c>
      <c r="F49" s="12">
        <v>0.8548</v>
      </c>
    </row>
    <row r="50" spans="1:8">
      <c r="A50" s="13" t="s">
        <v>51</v>
      </c>
      <c r="B50" s="14">
        <v>2.379</v>
      </c>
      <c r="C50" s="14">
        <f t="shared" si="4"/>
        <v>10.794103361718392</v>
      </c>
      <c r="D50" s="14">
        <v>1.45</v>
      </c>
      <c r="E50" s="2">
        <v>1.641</v>
      </c>
      <c r="F50" s="12">
        <v>0.1007</v>
      </c>
    </row>
    <row r="51" spans="1:8">
      <c r="A51" s="13" t="s">
        <v>53</v>
      </c>
      <c r="B51" s="14">
        <v>5.7169999999999999E-2</v>
      </c>
      <c r="C51" s="14">
        <f t="shared" si="4"/>
        <v>1.0588357971817106</v>
      </c>
      <c r="D51" s="14">
        <v>0.30840000000000001</v>
      </c>
      <c r="E51" s="2">
        <v>0.185</v>
      </c>
      <c r="F51" s="12">
        <v>0.85289999999999999</v>
      </c>
    </row>
    <row r="52" spans="1:8">
      <c r="A52" s="13" t="s">
        <v>54</v>
      </c>
      <c r="B52" s="14">
        <v>3.0870000000000002E-2</v>
      </c>
      <c r="C52" s="14">
        <f t="shared" si="4"/>
        <v>1.0313514194866924</v>
      </c>
      <c r="D52" s="14">
        <v>0.57850000000000001</v>
      </c>
      <c r="E52" s="2">
        <v>5.2999999999999999E-2</v>
      </c>
      <c r="F52" s="12">
        <v>0.95740000000000003</v>
      </c>
    </row>
    <row r="53" spans="1:8">
      <c r="A53" s="13" t="s">
        <v>59</v>
      </c>
      <c r="B53" s="14">
        <v>-0.72309999999999997</v>
      </c>
      <c r="C53" s="14">
        <f t="shared" si="4"/>
        <v>0.48524566039615141</v>
      </c>
      <c r="D53" s="14">
        <v>0.80559999999999998</v>
      </c>
      <c r="E53" s="2">
        <v>-0.89800000000000002</v>
      </c>
      <c r="F53" s="12">
        <v>0.36940000000000001</v>
      </c>
    </row>
    <row r="54" spans="1:8">
      <c r="A54" s="13" t="s">
        <v>60</v>
      </c>
      <c r="B54" s="14">
        <v>-0.36570000000000003</v>
      </c>
      <c r="C54" s="14">
        <f t="shared" si="4"/>
        <v>0.69371088326086572</v>
      </c>
      <c r="D54" s="14">
        <v>0.28920000000000001</v>
      </c>
      <c r="E54" s="2">
        <v>-1.264</v>
      </c>
      <c r="F54" s="12">
        <v>0.20619999999999999</v>
      </c>
    </row>
    <row r="55" spans="1:8">
      <c r="A55" s="13" t="s">
        <v>61</v>
      </c>
      <c r="B55" s="14">
        <v>-3.4139999999999997E-2</v>
      </c>
      <c r="C55" s="14">
        <f t="shared" si="4"/>
        <v>0.96643619409881609</v>
      </c>
      <c r="D55" s="14">
        <v>0.4501</v>
      </c>
      <c r="E55" s="2">
        <v>-7.5999999999999998E-2</v>
      </c>
      <c r="F55" s="12">
        <v>0.9395</v>
      </c>
    </row>
    <row r="56" spans="1:8">
      <c r="A56" s="13" t="s">
        <v>62</v>
      </c>
      <c r="B56" s="14">
        <v>0.2397</v>
      </c>
      <c r="C56" s="14">
        <f t="shared" si="4"/>
        <v>1.2708678327767999</v>
      </c>
      <c r="D56" s="14">
        <v>0.38850000000000001</v>
      </c>
      <c r="E56" s="2">
        <v>0.61699999999999999</v>
      </c>
      <c r="F56" s="12">
        <v>0.53720000000000001</v>
      </c>
    </row>
    <row r="57" spans="1:8">
      <c r="A57" s="13" t="s">
        <v>64</v>
      </c>
      <c r="B57" s="14">
        <v>-0.3831</v>
      </c>
      <c r="C57" s="14">
        <f t="shared" si="4"/>
        <v>0.68174472140501285</v>
      </c>
      <c r="D57" s="14">
        <v>0.87890000000000001</v>
      </c>
      <c r="E57" s="2">
        <v>-0.436</v>
      </c>
      <c r="F57" s="12">
        <v>0.66290000000000004</v>
      </c>
    </row>
    <row r="58" spans="1:8">
      <c r="A58" s="13" t="s">
        <v>65</v>
      </c>
      <c r="B58" s="14">
        <v>-0.12570000000000001</v>
      </c>
      <c r="C58" s="14">
        <f t="shared" si="4"/>
        <v>0.88187937091408675</v>
      </c>
      <c r="D58" s="14">
        <v>0.29909999999999998</v>
      </c>
      <c r="E58" s="2">
        <v>-0.42</v>
      </c>
      <c r="F58" s="12">
        <v>0.6744</v>
      </c>
    </row>
    <row r="59" spans="1:8">
      <c r="A59" s="13" t="s">
        <v>66</v>
      </c>
      <c r="B59" s="14">
        <v>0.1048</v>
      </c>
      <c r="C59" s="14">
        <f t="shared" si="4"/>
        <v>1.1104884904463654</v>
      </c>
      <c r="D59" s="14">
        <v>0.95920000000000005</v>
      </c>
      <c r="E59" s="2">
        <v>0.109</v>
      </c>
      <c r="F59" s="12">
        <v>0.91300000000000003</v>
      </c>
    </row>
    <row r="60" spans="1:8">
      <c r="A60" s="13" t="s">
        <v>67</v>
      </c>
      <c r="B60" s="14">
        <v>-0.93920000000000003</v>
      </c>
      <c r="C60" s="14">
        <f t="shared" si="4"/>
        <v>0.39094046266105548</v>
      </c>
      <c r="D60" s="14">
        <v>0.5796</v>
      </c>
      <c r="E60" s="2">
        <v>-1.62</v>
      </c>
      <c r="F60" s="12">
        <v>0.1051</v>
      </c>
    </row>
    <row r="61" spans="1:8">
      <c r="A61" s="13" t="s">
        <v>68</v>
      </c>
      <c r="B61" s="14">
        <v>0.87</v>
      </c>
      <c r="C61" s="14">
        <f t="shared" si="4"/>
        <v>2.3869108535242765</v>
      </c>
      <c r="D61" s="14">
        <v>0.83289999999999997</v>
      </c>
      <c r="E61" s="2">
        <v>1.0449999999999999</v>
      </c>
      <c r="F61" s="12">
        <v>0.29620000000000002</v>
      </c>
    </row>
    <row r="62" spans="1:8">
      <c r="A62" s="13" t="s">
        <v>70</v>
      </c>
      <c r="B62" s="14">
        <v>-1.7709999999999999</v>
      </c>
      <c r="C62" s="14">
        <f t="shared" si="4"/>
        <v>0.17016274097469672</v>
      </c>
      <c r="D62" s="14">
        <v>0.83399999999999996</v>
      </c>
      <c r="E62" s="6">
        <v>-2.1230000000000002</v>
      </c>
      <c r="F62" s="12">
        <v>3.3700000000000001E-2</v>
      </c>
      <c r="G62" s="2" t="s">
        <v>112</v>
      </c>
      <c r="H62" s="2" t="str">
        <f>IF(C62&gt;1, "Y", "N")</f>
        <v>N</v>
      </c>
    </row>
    <row r="63" spans="1:8">
      <c r="A63" s="13" t="s">
        <v>131</v>
      </c>
      <c r="B63" s="14">
        <v>0.18160000000000001</v>
      </c>
      <c r="C63" s="14">
        <f t="shared" si="4"/>
        <v>1.1991344441586573</v>
      </c>
      <c r="D63" s="14">
        <v>0.25459999999999999</v>
      </c>
      <c r="E63" s="2">
        <v>0.71299999999999997</v>
      </c>
      <c r="F63" s="12">
        <v>0.47560000000000002</v>
      </c>
    </row>
    <row r="64" spans="1:8">
      <c r="A64" s="13" t="s">
        <v>72</v>
      </c>
      <c r="B64" s="14">
        <v>-0.32350000000000001</v>
      </c>
      <c r="C64" s="14">
        <f t="shared" si="4"/>
        <v>0.7236119579223822</v>
      </c>
      <c r="D64" s="14">
        <v>0.28370000000000001</v>
      </c>
      <c r="E64" s="2">
        <v>-1.141</v>
      </c>
      <c r="F64" s="12">
        <v>0.254</v>
      </c>
    </row>
    <row r="65" spans="1:8">
      <c r="A65" s="13" t="s">
        <v>73</v>
      </c>
      <c r="B65" s="14">
        <v>-4.3279999999999999E-2</v>
      </c>
      <c r="C65" s="14">
        <f t="shared" si="4"/>
        <v>0.95764321242443395</v>
      </c>
      <c r="D65" s="14">
        <v>0.55200000000000005</v>
      </c>
      <c r="E65" s="2">
        <v>-7.8E-2</v>
      </c>
      <c r="F65" s="12">
        <v>0.9375</v>
      </c>
    </row>
    <row r="66" spans="1:8">
      <c r="A66" s="13" t="s">
        <v>74</v>
      </c>
      <c r="B66" s="14">
        <v>-1.157</v>
      </c>
      <c r="C66" s="14">
        <f t="shared" ref="C66:C97" si="5">EXP(B66)</f>
        <v>0.31442805152481357</v>
      </c>
      <c r="D66" s="14">
        <v>0.62019999999999997</v>
      </c>
      <c r="E66" s="2">
        <v>-1.865</v>
      </c>
      <c r="F66" s="12">
        <v>6.2199999999999998E-2</v>
      </c>
      <c r="G66" s="2" t="s">
        <v>110</v>
      </c>
    </row>
    <row r="67" spans="1:8">
      <c r="A67" s="13" t="s">
        <v>75</v>
      </c>
      <c r="B67" s="14">
        <v>-1.4200000000000001E-2</v>
      </c>
      <c r="C67" s="14">
        <f t="shared" si="5"/>
        <v>0.98590034447464547</v>
      </c>
      <c r="D67" s="14">
        <v>0.2631</v>
      </c>
      <c r="E67" s="2">
        <v>-5.3999999999999999E-2</v>
      </c>
      <c r="F67" s="12">
        <v>0.95689999999999997</v>
      </c>
    </row>
    <row r="68" spans="1:8">
      <c r="A68" s="13" t="s">
        <v>77</v>
      </c>
      <c r="B68" s="14">
        <v>-2.7779999999999999E-2</v>
      </c>
      <c r="C68" s="14">
        <f t="shared" si="5"/>
        <v>0.97260231577546741</v>
      </c>
      <c r="D68" s="14">
        <v>0.55740000000000001</v>
      </c>
      <c r="E68" s="2">
        <v>-0.05</v>
      </c>
      <c r="F68" s="12">
        <v>0.96030000000000004</v>
      </c>
    </row>
    <row r="69" spans="1:8">
      <c r="A69" s="13" t="s">
        <v>78</v>
      </c>
      <c r="B69" s="14">
        <v>-0.11169999999999999</v>
      </c>
      <c r="C69" s="14">
        <f t="shared" si="5"/>
        <v>0.89431251101362241</v>
      </c>
      <c r="D69" s="14">
        <v>0.33610000000000001</v>
      </c>
      <c r="E69" s="2">
        <v>-0.33200000000000002</v>
      </c>
      <c r="F69" s="12">
        <v>0.73960000000000004</v>
      </c>
    </row>
    <row r="70" spans="1:8">
      <c r="A70" s="13" t="s">
        <v>79</v>
      </c>
      <c r="B70" s="14">
        <v>-1.2569999999999999</v>
      </c>
      <c r="C70" s="14">
        <f t="shared" si="5"/>
        <v>0.28450626629978998</v>
      </c>
      <c r="D70" s="14">
        <v>1.0049999999999999</v>
      </c>
      <c r="E70" s="2">
        <v>-1.25</v>
      </c>
      <c r="F70" s="12">
        <v>0.2112</v>
      </c>
    </row>
    <row r="71" spans="1:8">
      <c r="A71" s="13" t="s">
        <v>80</v>
      </c>
      <c r="B71" s="14">
        <v>0.1981</v>
      </c>
      <c r="C71" s="14">
        <f t="shared" si="5"/>
        <v>1.21908429615604</v>
      </c>
      <c r="D71" s="14">
        <v>0.37359999999999999</v>
      </c>
      <c r="E71" s="2">
        <v>0.53</v>
      </c>
      <c r="F71" s="12">
        <v>0.59589999999999999</v>
      </c>
    </row>
    <row r="72" spans="1:8">
      <c r="A72" s="13" t="s">
        <v>82</v>
      </c>
      <c r="B72" s="14">
        <v>0.16980000000000001</v>
      </c>
      <c r="C72" s="14">
        <f t="shared" si="5"/>
        <v>1.1850678140546183</v>
      </c>
      <c r="D72" s="14">
        <v>0.65849999999999997</v>
      </c>
      <c r="E72" s="2">
        <v>0.25800000000000001</v>
      </c>
      <c r="F72" s="12">
        <v>0.79649999999999999</v>
      </c>
    </row>
    <row r="73" spans="1:8">
      <c r="A73" s="13" t="s">
        <v>83</v>
      </c>
      <c r="B73" s="14">
        <v>-0.1149</v>
      </c>
      <c r="C73" s="14">
        <f t="shared" si="5"/>
        <v>0.89145528497820137</v>
      </c>
      <c r="D73" s="14">
        <v>0.29249999999999998</v>
      </c>
      <c r="E73" s="2">
        <v>-0.39300000000000002</v>
      </c>
      <c r="F73" s="12">
        <v>0.6946</v>
      </c>
    </row>
    <row r="74" spans="1:8">
      <c r="A74" s="13" t="s">
        <v>84</v>
      </c>
      <c r="B74" s="14">
        <v>-15.08</v>
      </c>
      <c r="C74" s="14">
        <f t="shared" si="5"/>
        <v>2.8238343245283909E-7</v>
      </c>
      <c r="D74" s="14">
        <v>48200</v>
      </c>
      <c r="E74" s="2">
        <v>0</v>
      </c>
      <c r="F74" s="12">
        <v>0.99980000000000002</v>
      </c>
    </row>
    <row r="75" spans="1:8">
      <c r="A75" s="13" t="s">
        <v>85</v>
      </c>
      <c r="B75" s="14">
        <v>-3.1269999999999999E-2</v>
      </c>
      <c r="C75" s="14">
        <f t="shared" si="5"/>
        <v>0.96921385000549987</v>
      </c>
      <c r="D75" s="14">
        <v>1.6020000000000001</v>
      </c>
      <c r="E75" s="2">
        <v>-0.02</v>
      </c>
      <c r="F75" s="12">
        <v>0.98440000000000005</v>
      </c>
    </row>
    <row r="76" spans="1:8">
      <c r="A76" s="13" t="s">
        <v>86</v>
      </c>
      <c r="B76" s="14">
        <v>0.31659999999999999</v>
      </c>
      <c r="C76" s="14">
        <f t="shared" si="5"/>
        <v>1.3724534807222504</v>
      </c>
      <c r="D76" s="14">
        <v>0.4677</v>
      </c>
      <c r="E76" s="2">
        <v>0.67700000000000005</v>
      </c>
      <c r="F76" s="12">
        <v>0.49840000000000001</v>
      </c>
    </row>
    <row r="77" spans="1:8">
      <c r="A77" s="13" t="s">
        <v>87</v>
      </c>
      <c r="B77" s="14">
        <v>-0.80569999999999997</v>
      </c>
      <c r="C77" s="14">
        <f t="shared" si="5"/>
        <v>0.44677507452175286</v>
      </c>
      <c r="D77" s="14">
        <v>0.42959999999999998</v>
      </c>
      <c r="E77" s="2">
        <v>-1.875</v>
      </c>
      <c r="F77" s="12">
        <v>6.0699999999999997E-2</v>
      </c>
      <c r="G77" s="2" t="s">
        <v>110</v>
      </c>
    </row>
    <row r="78" spans="1:8">
      <c r="A78" s="13" t="s">
        <v>88</v>
      </c>
      <c r="B78" s="14">
        <v>-0.3448</v>
      </c>
      <c r="C78" s="14">
        <f t="shared" si="5"/>
        <v>0.70836201170384494</v>
      </c>
      <c r="D78" s="14">
        <v>0.44159999999999999</v>
      </c>
      <c r="E78" s="2">
        <v>-0.78100000000000003</v>
      </c>
      <c r="F78" s="12">
        <v>0.43490000000000001</v>
      </c>
    </row>
    <row r="79" spans="1:8">
      <c r="A79" s="13" t="s">
        <v>89</v>
      </c>
      <c r="B79" s="14">
        <v>-21.25</v>
      </c>
      <c r="C79" s="14">
        <f t="shared" si="5"/>
        <v>5.9053039989440393E-10</v>
      </c>
      <c r="D79" s="14">
        <v>13320</v>
      </c>
      <c r="E79" s="2">
        <v>-2E-3</v>
      </c>
      <c r="F79" s="12">
        <v>0.99870000000000003</v>
      </c>
    </row>
    <row r="80" spans="1:8">
      <c r="A80" s="13" t="s">
        <v>90</v>
      </c>
      <c r="B80" s="14">
        <v>-8.0850000000000009</v>
      </c>
      <c r="C80" s="14">
        <f t="shared" si="5"/>
        <v>3.0812654468605194E-4</v>
      </c>
      <c r="D80" s="14">
        <v>0.50919999999999999</v>
      </c>
      <c r="E80" s="2">
        <v>-15.875999999999999</v>
      </c>
      <c r="F80" s="12" t="s">
        <v>102</v>
      </c>
      <c r="G80" s="2" t="s">
        <v>103</v>
      </c>
      <c r="H80" s="2" t="str">
        <f>IF(C80&gt;1, "Y", "N")</f>
        <v>N</v>
      </c>
    </row>
    <row r="81" spans="1:7">
      <c r="A81" s="13" t="s">
        <v>91</v>
      </c>
      <c r="B81" s="14">
        <v>45.07</v>
      </c>
      <c r="C81" s="14">
        <f t="shared" si="5"/>
        <v>3.7467291515305165E+19</v>
      </c>
      <c r="D81" s="14">
        <v>11310</v>
      </c>
      <c r="E81" s="2">
        <v>4.0000000000000001E-3</v>
      </c>
      <c r="F81" s="12">
        <v>0.99680000000000002</v>
      </c>
    </row>
    <row r="82" spans="1:7">
      <c r="A82" s="13" t="s">
        <v>92</v>
      </c>
      <c r="B82" s="14">
        <v>-26.68</v>
      </c>
      <c r="C82" s="14">
        <f t="shared" si="5"/>
        <v>2.5883513171254756E-12</v>
      </c>
      <c r="D82" s="14">
        <v>8931</v>
      </c>
      <c r="E82" s="2">
        <v>-3.0000000000000001E-3</v>
      </c>
      <c r="F82" s="12">
        <v>0.99760000000000004</v>
      </c>
    </row>
    <row r="83" spans="1:7">
      <c r="A83" s="13" t="s">
        <v>93</v>
      </c>
      <c r="B83" s="14">
        <v>-25.88</v>
      </c>
      <c r="C83" s="14">
        <f t="shared" si="5"/>
        <v>5.7604817935801365E-12</v>
      </c>
      <c r="D83" s="14">
        <v>3812</v>
      </c>
      <c r="E83" s="2">
        <v>-7.0000000000000001E-3</v>
      </c>
      <c r="F83" s="12">
        <v>0.99460000000000004</v>
      </c>
    </row>
    <row r="84" spans="1:7">
      <c r="A84" s="13" t="s">
        <v>94</v>
      </c>
      <c r="B84" s="14">
        <v>-47.86</v>
      </c>
      <c r="C84" s="14">
        <f t="shared" si="5"/>
        <v>1.6393289034492922E-21</v>
      </c>
      <c r="D84" s="14">
        <v>712.7</v>
      </c>
      <c r="E84" s="2">
        <v>-6.7000000000000004E-2</v>
      </c>
      <c r="F84" s="12">
        <v>0.94650000000000001</v>
      </c>
    </row>
    <row r="85" spans="1:7">
      <c r="A85" s="13" t="s">
        <v>95</v>
      </c>
      <c r="B85" s="14">
        <v>-24.27</v>
      </c>
      <c r="C85" s="14">
        <f t="shared" si="5"/>
        <v>2.8818602994653656E-11</v>
      </c>
      <c r="D85" s="14">
        <v>8409</v>
      </c>
      <c r="E85" s="2">
        <v>-3.0000000000000001E-3</v>
      </c>
      <c r="F85" s="12">
        <v>0.99770000000000003</v>
      </c>
    </row>
    <row r="86" spans="1:7">
      <c r="A86" s="13" t="s">
        <v>96</v>
      </c>
      <c r="B86" s="14">
        <v>19.55</v>
      </c>
      <c r="C86" s="14">
        <f t="shared" si="5"/>
        <v>309354986.78036124</v>
      </c>
      <c r="D86" s="14">
        <v>884.2</v>
      </c>
      <c r="E86" s="2">
        <v>2.1999999999999999E-2</v>
      </c>
      <c r="F86" s="12">
        <v>0.98240000000000005</v>
      </c>
    </row>
    <row r="87" spans="1:7">
      <c r="A87" s="13" t="s">
        <v>97</v>
      </c>
      <c r="B87" s="14">
        <v>44.71</v>
      </c>
      <c r="C87" s="14">
        <f t="shared" si="5"/>
        <v>2.6140042292230435E+19</v>
      </c>
      <c r="D87" s="14">
        <v>14510</v>
      </c>
      <c r="E87" s="2">
        <v>3.0000000000000001E-3</v>
      </c>
      <c r="F87" s="12">
        <v>0.99750000000000005</v>
      </c>
    </row>
    <row r="88" spans="1:7">
      <c r="A88" s="13" t="s">
        <v>98</v>
      </c>
      <c r="B88" s="14">
        <v>17.88</v>
      </c>
      <c r="C88" s="14">
        <f t="shared" si="5"/>
        <v>58235168.502116203</v>
      </c>
      <c r="D88" s="14">
        <v>1801</v>
      </c>
      <c r="E88" s="2">
        <v>0.01</v>
      </c>
      <c r="F88" s="12">
        <v>0.99209999999999998</v>
      </c>
    </row>
    <row r="89" spans="1:7">
      <c r="A89" s="2" t="s">
        <v>130</v>
      </c>
      <c r="C89" s="14">
        <f t="shared" si="5"/>
        <v>1</v>
      </c>
    </row>
    <row r="90" spans="1:7">
      <c r="A90" s="16" t="s">
        <v>40</v>
      </c>
      <c r="B90" s="14">
        <v>0.6875</v>
      </c>
      <c r="C90" s="14">
        <f t="shared" si="5"/>
        <v>1.9887374695822919</v>
      </c>
      <c r="D90" s="14">
        <v>0.4118</v>
      </c>
      <c r="E90" s="2">
        <v>1.669</v>
      </c>
      <c r="F90" s="12">
        <v>9.5000000000000001E-2</v>
      </c>
      <c r="G90" s="2" t="s">
        <v>110</v>
      </c>
    </row>
    <row r="91" spans="1:7">
      <c r="A91" s="16" t="s">
        <v>52</v>
      </c>
      <c r="B91" s="14">
        <v>0.2024</v>
      </c>
      <c r="C91" s="14">
        <f t="shared" si="5"/>
        <v>1.224337645235499</v>
      </c>
      <c r="D91" s="14">
        <v>0.32869999999999999</v>
      </c>
      <c r="E91" s="2">
        <v>0.61599999999999999</v>
      </c>
      <c r="F91" s="12">
        <v>0.53810000000000002</v>
      </c>
    </row>
    <row r="92" spans="1:7">
      <c r="A92" s="16" t="s">
        <v>55</v>
      </c>
      <c r="B92" s="14">
        <v>0.1012</v>
      </c>
      <c r="C92" s="14">
        <f t="shared" si="5"/>
        <v>1.106497919218784</v>
      </c>
      <c r="D92" s="14">
        <v>0.42070000000000002</v>
      </c>
      <c r="E92" s="2">
        <v>0.24099999999999999</v>
      </c>
      <c r="F92" s="12">
        <v>0.80979999999999996</v>
      </c>
    </row>
    <row r="93" spans="1:7">
      <c r="A93" s="16" t="s">
        <v>56</v>
      </c>
      <c r="B93" s="14">
        <v>-0.21909999999999999</v>
      </c>
      <c r="C93" s="14">
        <f t="shared" si="5"/>
        <v>0.80324138999828587</v>
      </c>
      <c r="D93" s="14">
        <v>0.35220000000000001</v>
      </c>
      <c r="E93" s="2">
        <v>-0.622</v>
      </c>
      <c r="F93" s="12">
        <v>0.53390000000000004</v>
      </c>
    </row>
    <row r="94" spans="1:7">
      <c r="A94" s="16" t="s">
        <v>58</v>
      </c>
      <c r="B94" s="14">
        <v>0.2873</v>
      </c>
      <c r="C94" s="14">
        <f t="shared" si="5"/>
        <v>1.3328240007048044</v>
      </c>
      <c r="D94" s="14">
        <v>0.30830000000000002</v>
      </c>
      <c r="E94" s="2">
        <v>0.93200000000000005</v>
      </c>
      <c r="F94" s="12">
        <v>0.35139999999999999</v>
      </c>
    </row>
    <row r="95" spans="1:7">
      <c r="A95" s="16" t="s">
        <v>63</v>
      </c>
      <c r="B95" s="14">
        <v>-0.13100000000000001</v>
      </c>
      <c r="C95" s="14">
        <f t="shared" si="5"/>
        <v>0.87721777439104354</v>
      </c>
      <c r="D95" s="14">
        <v>0.52980000000000005</v>
      </c>
      <c r="E95" s="2">
        <v>-0.247</v>
      </c>
      <c r="F95" s="12">
        <v>0.80469999999999997</v>
      </c>
    </row>
    <row r="96" spans="1:7">
      <c r="A96" s="16" t="s">
        <v>69</v>
      </c>
      <c r="B96" s="14">
        <v>3.2140000000000002E-2</v>
      </c>
      <c r="C96" s="14">
        <f t="shared" si="5"/>
        <v>1.0326620678750049</v>
      </c>
      <c r="D96" s="14">
        <v>0.27950000000000003</v>
      </c>
      <c r="E96" s="2">
        <v>0.115</v>
      </c>
      <c r="F96" s="12">
        <v>0.90839999999999999</v>
      </c>
    </row>
    <row r="97" spans="1:6">
      <c r="A97" s="16" t="s">
        <v>71</v>
      </c>
      <c r="B97" s="14">
        <v>0.1661</v>
      </c>
      <c r="C97" s="14">
        <f t="shared" si="5"/>
        <v>1.1806911649365106</v>
      </c>
      <c r="D97" s="14">
        <v>0.54020000000000001</v>
      </c>
      <c r="E97" s="2">
        <v>0.307</v>
      </c>
      <c r="F97" s="12">
        <v>0.75849999999999995</v>
      </c>
    </row>
    <row r="98" spans="1:6">
      <c r="A98" s="16" t="s">
        <v>76</v>
      </c>
      <c r="B98" s="14">
        <v>1.758</v>
      </c>
      <c r="C98" s="14">
        <f t="shared" ref="C98:C99" si="6">EXP(B98)</f>
        <v>5.8008241367425288</v>
      </c>
      <c r="D98" s="14">
        <v>4.1020000000000003</v>
      </c>
      <c r="E98" s="2">
        <v>0.42899999999999999</v>
      </c>
      <c r="F98" s="12">
        <v>0.66820000000000002</v>
      </c>
    </row>
    <row r="99" spans="1:6">
      <c r="A99" s="16" t="s">
        <v>81</v>
      </c>
      <c r="B99" s="14">
        <v>-0.1076</v>
      </c>
      <c r="C99" s="14">
        <f t="shared" si="6"/>
        <v>0.89798671928879037</v>
      </c>
      <c r="D99" s="14">
        <v>0.249</v>
      </c>
      <c r="E99" s="2">
        <v>-0.432</v>
      </c>
      <c r="F99" s="12">
        <v>0.66559999999999997</v>
      </c>
    </row>
  </sheetData>
  <autoFilter ref="A1:H99" xr:uid="{6BC16AF5-83FE-0149-9DB4-0F6291F49113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8882-04AF-5047-98CB-3D1A04F90EEF}">
  <dimension ref="A1:H99"/>
  <sheetViews>
    <sheetView workbookViewId="0">
      <selection activeCell="C1" sqref="C1"/>
    </sheetView>
  </sheetViews>
  <sheetFormatPr baseColWidth="10" defaultRowHeight="14"/>
  <cols>
    <col min="1" max="1" width="44.6640625" style="2" customWidth="1"/>
    <col min="2" max="2" width="11" style="14" bestFit="1" customWidth="1"/>
    <col min="3" max="3" width="11.6640625" style="14" customWidth="1"/>
    <col min="4" max="4" width="12.5" style="14" bestFit="1" customWidth="1"/>
    <col min="5" max="5" width="11" style="2" bestFit="1" customWidth="1"/>
    <col min="6" max="6" width="13.5" style="18" customWidth="1"/>
    <col min="7" max="7" width="15.33203125" style="2" customWidth="1"/>
    <col min="8" max="16384" width="10.83203125" style="2"/>
  </cols>
  <sheetData>
    <row r="1" spans="1:8">
      <c r="A1" s="8" t="s">
        <v>1</v>
      </c>
      <c r="B1" s="9" t="s">
        <v>0</v>
      </c>
      <c r="C1" s="9" t="s">
        <v>129</v>
      </c>
      <c r="D1" s="9" t="s">
        <v>2</v>
      </c>
      <c r="E1" s="9" t="s">
        <v>3</v>
      </c>
      <c r="F1" s="17" t="s">
        <v>99</v>
      </c>
      <c r="G1" s="9" t="s">
        <v>105</v>
      </c>
      <c r="H1" s="9" t="s">
        <v>134</v>
      </c>
    </row>
    <row r="2" spans="1:8">
      <c r="A2" s="2" t="s">
        <v>91</v>
      </c>
      <c r="B2" s="14">
        <v>45.07</v>
      </c>
      <c r="C2" s="14">
        <f t="shared" ref="C2:C33" si="0">EXP(B2)</f>
        <v>3.7467291515305165E+19</v>
      </c>
      <c r="D2" s="14">
        <v>11310</v>
      </c>
      <c r="E2" s="2">
        <v>4.0000000000000001E-3</v>
      </c>
      <c r="F2" s="18">
        <v>0.99680000000000002</v>
      </c>
    </row>
    <row r="3" spans="1:8">
      <c r="A3" s="2" t="s">
        <v>97</v>
      </c>
      <c r="B3" s="14">
        <v>44.71</v>
      </c>
      <c r="C3" s="14">
        <f t="shared" si="0"/>
        <v>2.6140042292230435E+19</v>
      </c>
      <c r="D3" s="14">
        <v>14510</v>
      </c>
      <c r="E3" s="2">
        <v>3.0000000000000001E-3</v>
      </c>
      <c r="F3" s="18">
        <v>0.99750000000000005</v>
      </c>
    </row>
    <row r="4" spans="1:8">
      <c r="A4" s="2" t="s">
        <v>6</v>
      </c>
      <c r="B4" s="14">
        <v>25.99</v>
      </c>
      <c r="C4" s="14">
        <f t="shared" si="0"/>
        <v>193782067274.81113</v>
      </c>
      <c r="D4" s="14">
        <v>501.3</v>
      </c>
      <c r="E4" s="2">
        <v>5.1999999999999998E-2</v>
      </c>
      <c r="F4" s="18">
        <v>0.95860000000000001</v>
      </c>
    </row>
    <row r="5" spans="1:8">
      <c r="A5" s="2" t="s">
        <v>96</v>
      </c>
      <c r="B5" s="14">
        <v>19.55</v>
      </c>
      <c r="C5" s="14">
        <f t="shared" si="0"/>
        <v>309354986.78036124</v>
      </c>
      <c r="D5" s="14">
        <v>884.2</v>
      </c>
      <c r="E5" s="2">
        <v>2.1999999999999999E-2</v>
      </c>
      <c r="F5" s="18">
        <v>0.98240000000000005</v>
      </c>
    </row>
    <row r="6" spans="1:8">
      <c r="A6" s="2" t="s">
        <v>98</v>
      </c>
      <c r="B6" s="14">
        <v>17.88</v>
      </c>
      <c r="C6" s="14">
        <f t="shared" si="0"/>
        <v>58235168.502116203</v>
      </c>
      <c r="D6" s="14">
        <v>1801</v>
      </c>
      <c r="E6" s="2">
        <v>0.01</v>
      </c>
      <c r="F6" s="18">
        <v>0.99209999999999998</v>
      </c>
    </row>
    <row r="7" spans="1:8">
      <c r="A7" s="2" t="s">
        <v>11</v>
      </c>
      <c r="B7" s="14">
        <v>7.5720000000000001</v>
      </c>
      <c r="C7" s="14">
        <f t="shared" si="0"/>
        <v>1943.0224429892489</v>
      </c>
      <c r="D7" s="14">
        <v>0.50970000000000004</v>
      </c>
      <c r="E7" s="2">
        <v>14.856999999999999</v>
      </c>
      <c r="F7" s="18" t="s">
        <v>102</v>
      </c>
      <c r="G7" s="2" t="s">
        <v>103</v>
      </c>
      <c r="H7" s="2" t="str">
        <f>IF(C7&gt;1, "Y", "N")</f>
        <v>Y</v>
      </c>
    </row>
    <row r="8" spans="1:8">
      <c r="A8" s="2" t="s">
        <v>31</v>
      </c>
      <c r="B8" s="14">
        <v>5.5419999999999998</v>
      </c>
      <c r="C8" s="14">
        <f t="shared" si="0"/>
        <v>255.18786515321113</v>
      </c>
      <c r="D8" s="14">
        <v>1.359</v>
      </c>
      <c r="E8" s="2">
        <v>4.0789999999999997</v>
      </c>
      <c r="F8" s="18">
        <v>4.5300000000000003E-5</v>
      </c>
      <c r="G8" s="2" t="s">
        <v>103</v>
      </c>
      <c r="H8" s="2" t="str">
        <f>IF(C8&gt;1, "Y", "N")</f>
        <v>Y</v>
      </c>
    </row>
    <row r="9" spans="1:8">
      <c r="A9" s="2" t="s">
        <v>51</v>
      </c>
      <c r="B9" s="14">
        <v>2.4870000000000001</v>
      </c>
      <c r="C9" s="14">
        <f t="shared" si="0"/>
        <v>12.025146513590867</v>
      </c>
      <c r="D9" s="14">
        <v>1.4390000000000001</v>
      </c>
      <c r="E9" s="2">
        <v>1.728</v>
      </c>
      <c r="F9" s="18">
        <v>8.4099999999999994E-2</v>
      </c>
      <c r="G9" s="2" t="s">
        <v>110</v>
      </c>
    </row>
    <row r="10" spans="1:8">
      <c r="A10" s="2" t="s">
        <v>16</v>
      </c>
      <c r="B10" s="14">
        <v>2.4550000000000001</v>
      </c>
      <c r="C10" s="14">
        <f t="shared" si="0"/>
        <v>11.646433548879468</v>
      </c>
      <c r="D10" s="14">
        <v>0.2576</v>
      </c>
      <c r="E10" s="2">
        <v>9.5329999999999995</v>
      </c>
      <c r="F10" s="18" t="s">
        <v>102</v>
      </c>
      <c r="G10" s="2" t="s">
        <v>103</v>
      </c>
      <c r="H10" s="2" t="str">
        <f>IF(C10&gt;1, "Y", "N")</f>
        <v>Y</v>
      </c>
    </row>
    <row r="11" spans="1:8">
      <c r="A11" s="2" t="s">
        <v>35</v>
      </c>
      <c r="B11" s="14">
        <v>2.19</v>
      </c>
      <c r="C11" s="14">
        <f t="shared" si="0"/>
        <v>8.9352131146987475</v>
      </c>
      <c r="D11" s="14">
        <v>10.72</v>
      </c>
      <c r="E11" s="2">
        <v>0.20399999999999999</v>
      </c>
      <c r="F11" s="18">
        <v>0.83809999999999996</v>
      </c>
    </row>
    <row r="12" spans="1:8">
      <c r="A12" s="2" t="s">
        <v>107</v>
      </c>
      <c r="B12" s="14">
        <v>1.9670000000000001</v>
      </c>
      <c r="C12" s="14">
        <f t="shared" si="0"/>
        <v>7.1491966946819137</v>
      </c>
      <c r="D12" s="14">
        <v>0.1923</v>
      </c>
      <c r="E12" s="2">
        <v>10.231</v>
      </c>
      <c r="F12" s="18" t="s">
        <v>102</v>
      </c>
      <c r="G12" s="2" t="s">
        <v>103</v>
      </c>
      <c r="H12" s="2" t="str">
        <f>IF(C12&gt;1, "Y", "N")</f>
        <v>Y</v>
      </c>
    </row>
    <row r="13" spans="1:8">
      <c r="A13" s="2" t="s">
        <v>10</v>
      </c>
      <c r="B13" s="14">
        <v>1.925</v>
      </c>
      <c r="C13" s="14">
        <f t="shared" si="0"/>
        <v>6.8551486658991783</v>
      </c>
      <c r="D13" s="14">
        <v>1.0229999999999999</v>
      </c>
      <c r="E13" s="2">
        <v>1.8819999999999999</v>
      </c>
      <c r="F13" s="18">
        <v>5.9900000000000002E-2</v>
      </c>
      <c r="G13" s="2" t="s">
        <v>110</v>
      </c>
    </row>
    <row r="14" spans="1:8">
      <c r="A14" s="11" t="s">
        <v>76</v>
      </c>
      <c r="B14" s="14">
        <v>1.8660000000000001</v>
      </c>
      <c r="C14" s="14">
        <f t="shared" si="0"/>
        <v>6.4623950509214172</v>
      </c>
      <c r="D14" s="14">
        <v>4.0979999999999999</v>
      </c>
      <c r="E14" s="2">
        <v>0.45500000000000002</v>
      </c>
      <c r="F14" s="18">
        <v>0.64890000000000003</v>
      </c>
    </row>
    <row r="15" spans="1:8">
      <c r="A15" s="2" t="s">
        <v>48</v>
      </c>
      <c r="B15" s="14">
        <v>1.6910000000000001</v>
      </c>
      <c r="C15" s="14">
        <f t="shared" si="0"/>
        <v>5.4249028964801633</v>
      </c>
      <c r="D15" s="14">
        <v>27150</v>
      </c>
      <c r="E15" s="2">
        <v>0</v>
      </c>
      <c r="F15" s="18">
        <v>1</v>
      </c>
    </row>
    <row r="16" spans="1:8">
      <c r="A16" s="2" t="s">
        <v>17</v>
      </c>
      <c r="B16" s="14">
        <v>1.216</v>
      </c>
      <c r="C16" s="14">
        <f t="shared" si="0"/>
        <v>3.3736660440948167</v>
      </c>
      <c r="D16" s="14">
        <v>0.15540000000000001</v>
      </c>
      <c r="E16" s="2">
        <v>7.827</v>
      </c>
      <c r="F16" s="18">
        <v>4.9900000000000002E-15</v>
      </c>
      <c r="G16" s="2" t="s">
        <v>103</v>
      </c>
      <c r="H16" s="2" t="str">
        <f>IF(C16&gt;1, "Y", "N")</f>
        <v>Y</v>
      </c>
    </row>
    <row r="17" spans="1:8">
      <c r="A17" s="2" t="s">
        <v>68</v>
      </c>
      <c r="B17" s="14">
        <v>0.97760000000000002</v>
      </c>
      <c r="C17" s="14">
        <f t="shared" si="0"/>
        <v>2.6580692144475377</v>
      </c>
      <c r="D17" s="14">
        <v>0.81479999999999997</v>
      </c>
      <c r="E17" s="2">
        <v>1.2</v>
      </c>
      <c r="F17" s="18">
        <v>0.23019999999999999</v>
      </c>
    </row>
    <row r="18" spans="1:8">
      <c r="A18" s="11" t="s">
        <v>40</v>
      </c>
      <c r="B18" s="14">
        <v>0.79510000000000003</v>
      </c>
      <c r="C18" s="14">
        <f t="shared" si="0"/>
        <v>2.2146624519763289</v>
      </c>
      <c r="D18" s="14">
        <v>0.37559999999999999</v>
      </c>
      <c r="E18" s="6">
        <v>2.117</v>
      </c>
      <c r="F18" s="18">
        <v>3.4299999999999997E-2</v>
      </c>
      <c r="G18" s="2" t="s">
        <v>112</v>
      </c>
      <c r="H18" s="2" t="str">
        <f>IF(C18&gt;1, "Y", "N")</f>
        <v>Y</v>
      </c>
    </row>
    <row r="19" spans="1:8">
      <c r="A19" s="2" t="s">
        <v>44</v>
      </c>
      <c r="B19" s="14">
        <v>0.73650000000000004</v>
      </c>
      <c r="C19" s="14">
        <f t="shared" si="0"/>
        <v>2.0886125628345509</v>
      </c>
      <c r="D19" s="14">
        <v>0.68049999999999999</v>
      </c>
      <c r="E19" s="2">
        <v>1.0820000000000001</v>
      </c>
      <c r="F19" s="18">
        <v>0.27910000000000001</v>
      </c>
    </row>
    <row r="20" spans="1:8">
      <c r="A20" s="2" t="s">
        <v>39</v>
      </c>
      <c r="B20" s="14">
        <v>0.70740000000000003</v>
      </c>
      <c r="C20" s="14">
        <f t="shared" si="0"/>
        <v>2.0287097503103557</v>
      </c>
      <c r="D20" s="14">
        <v>0.58020000000000005</v>
      </c>
      <c r="E20" s="2">
        <v>1.2190000000000001</v>
      </c>
      <c r="F20" s="18">
        <v>0.22270000000000001</v>
      </c>
    </row>
    <row r="21" spans="1:8">
      <c r="A21" s="2" t="s">
        <v>86</v>
      </c>
      <c r="B21" s="14">
        <v>0.42420000000000002</v>
      </c>
      <c r="C21" s="14">
        <f t="shared" si="0"/>
        <v>1.5283672366660834</v>
      </c>
      <c r="D21" s="14">
        <v>0.43519999999999998</v>
      </c>
      <c r="E21" s="2">
        <v>0.97499999999999998</v>
      </c>
      <c r="F21" s="18">
        <v>0.32969999999999999</v>
      </c>
    </row>
    <row r="22" spans="1:8">
      <c r="A22" s="2" t="s">
        <v>43</v>
      </c>
      <c r="B22" s="14">
        <v>0.41189999999999999</v>
      </c>
      <c r="C22" s="14">
        <f t="shared" si="0"/>
        <v>1.5096834604340326</v>
      </c>
      <c r="D22" s="14">
        <v>0.2994</v>
      </c>
      <c r="E22" s="2">
        <v>1.3759999999999999</v>
      </c>
      <c r="F22" s="18">
        <v>0.16889999999999999</v>
      </c>
    </row>
    <row r="23" spans="1:8">
      <c r="A23" s="11" t="s">
        <v>58</v>
      </c>
      <c r="B23" s="14">
        <v>0.39489999999999997</v>
      </c>
      <c r="C23" s="14">
        <f t="shared" si="0"/>
        <v>1.4842357599234954</v>
      </c>
      <c r="D23" s="14">
        <v>0.25750000000000001</v>
      </c>
      <c r="E23" s="2">
        <v>1.5329999999999999</v>
      </c>
      <c r="F23" s="18">
        <v>0.12520000000000001</v>
      </c>
    </row>
    <row r="24" spans="1:8">
      <c r="A24" s="2" t="s">
        <v>62</v>
      </c>
      <c r="B24" s="14">
        <v>0.34739999999999999</v>
      </c>
      <c r="C24" s="14">
        <f t="shared" si="0"/>
        <v>1.4153827652610078</v>
      </c>
      <c r="D24" s="14">
        <v>0.34860000000000002</v>
      </c>
      <c r="E24" s="2">
        <v>0.996</v>
      </c>
      <c r="F24" s="18">
        <v>0.31900000000000001</v>
      </c>
    </row>
    <row r="25" spans="1:8">
      <c r="A25" s="11" t="s">
        <v>52</v>
      </c>
      <c r="B25" s="14">
        <v>0.31</v>
      </c>
      <c r="C25" s="14">
        <f t="shared" si="0"/>
        <v>1.3634251141321778</v>
      </c>
      <c r="D25" s="14">
        <v>0.28060000000000002</v>
      </c>
      <c r="E25" s="2">
        <v>1.105</v>
      </c>
      <c r="F25" s="18">
        <v>0.26919999999999999</v>
      </c>
    </row>
    <row r="26" spans="1:8">
      <c r="A26" s="2" t="s">
        <v>80</v>
      </c>
      <c r="B26" s="14">
        <v>0.30570000000000003</v>
      </c>
      <c r="C26" s="14">
        <f t="shared" si="0"/>
        <v>1.3575749729590214</v>
      </c>
      <c r="D26" s="14">
        <v>0.33200000000000002</v>
      </c>
      <c r="E26" s="2">
        <v>0.92100000000000004</v>
      </c>
      <c r="F26" s="18">
        <v>0.35720000000000002</v>
      </c>
    </row>
    <row r="27" spans="1:8">
      <c r="A27" s="2" t="s">
        <v>19</v>
      </c>
      <c r="B27" s="14">
        <v>0.29620000000000002</v>
      </c>
      <c r="C27" s="14">
        <f t="shared" si="0"/>
        <v>1.3447390777546151</v>
      </c>
      <c r="D27" s="14">
        <v>0.69620000000000004</v>
      </c>
      <c r="E27" s="2">
        <v>0.42499999999999999</v>
      </c>
      <c r="F27" s="18">
        <v>0.67049999999999998</v>
      </c>
    </row>
    <row r="28" spans="1:8">
      <c r="A28" s="2" t="s">
        <v>131</v>
      </c>
      <c r="B28" s="14">
        <v>0.28920000000000001</v>
      </c>
      <c r="C28" s="14">
        <f t="shared" si="0"/>
        <v>1.335358773577829</v>
      </c>
      <c r="D28" s="14">
        <v>0.19070000000000001</v>
      </c>
      <c r="E28" s="2">
        <v>1.516</v>
      </c>
      <c r="F28" s="18">
        <v>0.12939999999999999</v>
      </c>
    </row>
    <row r="29" spans="1:8">
      <c r="A29" s="2" t="s">
        <v>82</v>
      </c>
      <c r="B29" s="14">
        <v>0.27739999999999998</v>
      </c>
      <c r="C29" s="14">
        <f t="shared" si="0"/>
        <v>1.3196941431307549</v>
      </c>
      <c r="D29" s="14">
        <v>0.63580000000000003</v>
      </c>
      <c r="E29" s="2">
        <v>0.436</v>
      </c>
      <c r="F29" s="18">
        <v>0.66259999999999997</v>
      </c>
    </row>
    <row r="30" spans="1:8">
      <c r="A30" s="11" t="s">
        <v>71</v>
      </c>
      <c r="B30" s="14">
        <v>0.2737</v>
      </c>
      <c r="C30" s="14">
        <f t="shared" si="0"/>
        <v>1.314820296976801</v>
      </c>
      <c r="D30" s="14">
        <v>0.51359999999999995</v>
      </c>
      <c r="E30" s="2">
        <v>0.53300000000000003</v>
      </c>
      <c r="F30" s="18">
        <v>0.59409999999999996</v>
      </c>
    </row>
    <row r="31" spans="1:8">
      <c r="A31" s="2" t="s">
        <v>41</v>
      </c>
      <c r="B31" s="14">
        <v>0.2238</v>
      </c>
      <c r="C31" s="14">
        <f t="shared" si="0"/>
        <v>1.250820830244229</v>
      </c>
      <c r="D31" s="14">
        <v>0.19239999999999999</v>
      </c>
      <c r="E31" s="2">
        <v>1.163</v>
      </c>
      <c r="F31" s="18">
        <v>0.24490000000000001</v>
      </c>
      <c r="H31" s="2" t="str">
        <f>IF(C31&gt;1, "Y", "N")</f>
        <v>Y</v>
      </c>
    </row>
    <row r="32" spans="1:8">
      <c r="A32" s="2" t="s">
        <v>37</v>
      </c>
      <c r="B32" s="14">
        <v>0.2225</v>
      </c>
      <c r="C32" s="14">
        <f t="shared" si="0"/>
        <v>1.249195819650653</v>
      </c>
      <c r="D32" s="14">
        <v>0.3412</v>
      </c>
      <c r="E32" s="2">
        <v>0.65200000000000002</v>
      </c>
      <c r="F32" s="18">
        <v>0.51439999999999997</v>
      </c>
    </row>
    <row r="33" spans="1:6">
      <c r="A33" s="2" t="s">
        <v>38</v>
      </c>
      <c r="B33" s="14">
        <v>0.21260000000000001</v>
      </c>
      <c r="C33" s="14">
        <f t="shared" si="0"/>
        <v>1.236889796360678</v>
      </c>
      <c r="D33" s="14">
        <v>24910</v>
      </c>
      <c r="E33" s="2">
        <v>0</v>
      </c>
      <c r="F33" s="18">
        <v>1</v>
      </c>
    </row>
    <row r="34" spans="1:6">
      <c r="A34" s="2" t="s">
        <v>66</v>
      </c>
      <c r="B34" s="14">
        <v>0.21240000000000001</v>
      </c>
      <c r="C34" s="14">
        <f t="shared" ref="C34:C65" si="1">EXP(B34)</f>
        <v>1.2366424431375527</v>
      </c>
      <c r="D34" s="14">
        <v>0.94399999999999995</v>
      </c>
      <c r="E34" s="2">
        <v>0.22500000000000001</v>
      </c>
      <c r="F34" s="18">
        <v>0.82199999999999995</v>
      </c>
    </row>
    <row r="35" spans="1:6">
      <c r="A35" s="11" t="s">
        <v>55</v>
      </c>
      <c r="B35" s="14">
        <v>0.2089</v>
      </c>
      <c r="C35" s="14">
        <f t="shared" si="1"/>
        <v>1.2323217601924215</v>
      </c>
      <c r="D35" s="14">
        <v>0.38369999999999999</v>
      </c>
      <c r="E35" s="2">
        <v>0.54400000000000004</v>
      </c>
      <c r="F35" s="18">
        <v>0.58620000000000005</v>
      </c>
    </row>
    <row r="36" spans="1:6">
      <c r="A36" s="2" t="s">
        <v>42</v>
      </c>
      <c r="B36" s="14">
        <v>0.20660000000000001</v>
      </c>
      <c r="C36" s="14">
        <f t="shared" si="1"/>
        <v>1.2294906771375276</v>
      </c>
      <c r="D36" s="14">
        <v>0.56100000000000005</v>
      </c>
      <c r="E36" s="2">
        <v>0.36799999999999999</v>
      </c>
      <c r="F36" s="18">
        <v>0.71260000000000001</v>
      </c>
    </row>
    <row r="37" spans="1:6">
      <c r="A37" s="2" t="s">
        <v>30</v>
      </c>
      <c r="B37" s="14">
        <v>0.18540000000000001</v>
      </c>
      <c r="C37" s="14">
        <f t="shared" si="1"/>
        <v>1.2036998237740573</v>
      </c>
      <c r="D37" s="14">
        <v>0.16689999999999999</v>
      </c>
      <c r="E37" s="2">
        <v>1.111</v>
      </c>
      <c r="F37" s="18">
        <v>0.26679999999999998</v>
      </c>
    </row>
    <row r="38" spans="1:6">
      <c r="A38" s="2" t="s">
        <v>53</v>
      </c>
      <c r="B38" s="14">
        <v>0.1648</v>
      </c>
      <c r="C38" s="14">
        <f t="shared" si="1"/>
        <v>1.1791572636739382</v>
      </c>
      <c r="D38" s="14">
        <v>0.25659999999999999</v>
      </c>
      <c r="E38" s="2">
        <v>0.64200000000000002</v>
      </c>
      <c r="F38" s="18">
        <v>0.52080000000000004</v>
      </c>
    </row>
    <row r="39" spans="1:6">
      <c r="A39" s="11" t="s">
        <v>69</v>
      </c>
      <c r="B39" s="14">
        <v>0.13980000000000001</v>
      </c>
      <c r="C39" s="14">
        <f t="shared" si="1"/>
        <v>1.1500437671013981</v>
      </c>
      <c r="D39" s="14">
        <v>0.22189999999999999</v>
      </c>
      <c r="E39" s="2">
        <v>0.63</v>
      </c>
      <c r="F39" s="18">
        <v>0.52880000000000005</v>
      </c>
    </row>
    <row r="40" spans="1:6">
      <c r="A40" s="2" t="s">
        <v>54</v>
      </c>
      <c r="B40" s="14">
        <v>0.13850000000000001</v>
      </c>
      <c r="C40" s="14">
        <f t="shared" si="1"/>
        <v>1.1485496815701788</v>
      </c>
      <c r="D40" s="14">
        <v>0.55269999999999997</v>
      </c>
      <c r="E40" s="2">
        <v>0.251</v>
      </c>
      <c r="F40" s="18">
        <v>0.80220000000000002</v>
      </c>
    </row>
    <row r="41" spans="1:6">
      <c r="A41" s="2" t="s">
        <v>21</v>
      </c>
      <c r="B41" s="14">
        <v>0.1144</v>
      </c>
      <c r="C41" s="14">
        <f t="shared" si="1"/>
        <v>1.1212005154062326</v>
      </c>
      <c r="D41" s="14">
        <v>0.1431</v>
      </c>
      <c r="E41" s="2">
        <v>0.8</v>
      </c>
      <c r="F41" s="18">
        <v>0.42380000000000001</v>
      </c>
    </row>
    <row r="42" spans="1:6">
      <c r="A42" s="2" t="s">
        <v>57</v>
      </c>
      <c r="B42" s="14">
        <v>0.1076</v>
      </c>
      <c r="C42" s="14">
        <f t="shared" si="1"/>
        <v>1.1136022154002507</v>
      </c>
      <c r="D42" s="14">
        <v>0.249</v>
      </c>
      <c r="E42" s="2">
        <v>0.432</v>
      </c>
      <c r="F42" s="18">
        <v>0.66559999999999997</v>
      </c>
    </row>
    <row r="43" spans="1:6">
      <c r="A43" s="2" t="s">
        <v>75</v>
      </c>
      <c r="B43" s="14">
        <v>9.3399999999999997E-2</v>
      </c>
      <c r="C43" s="14">
        <f t="shared" si="1"/>
        <v>1.0979008077708354</v>
      </c>
      <c r="D43" s="14">
        <v>0.19980000000000001</v>
      </c>
      <c r="E43" s="2">
        <v>0.46800000000000003</v>
      </c>
      <c r="F43" s="18">
        <v>0.6401</v>
      </c>
    </row>
    <row r="44" spans="1:6">
      <c r="A44" s="2" t="s">
        <v>29</v>
      </c>
      <c r="B44" s="14">
        <v>9.2490000000000003E-2</v>
      </c>
      <c r="C44" s="14">
        <f t="shared" si="1"/>
        <v>1.0969021724837338</v>
      </c>
      <c r="D44" s="14">
        <v>0.32869999999999999</v>
      </c>
      <c r="E44" s="2">
        <v>0.28100000000000003</v>
      </c>
      <c r="F44" s="18">
        <v>0.77839999999999998</v>
      </c>
    </row>
    <row r="45" spans="1:6">
      <c r="A45" s="2" t="s">
        <v>77</v>
      </c>
      <c r="B45" s="14">
        <v>7.9829999999999998E-2</v>
      </c>
      <c r="C45" s="14">
        <f t="shared" si="1"/>
        <v>1.083102924526065</v>
      </c>
      <c r="D45" s="14">
        <v>0.53080000000000005</v>
      </c>
      <c r="E45" s="2">
        <v>0.15</v>
      </c>
      <c r="F45" s="18">
        <v>0.88049999999999995</v>
      </c>
    </row>
    <row r="46" spans="1:6">
      <c r="A46" s="2" t="s">
        <v>85</v>
      </c>
      <c r="B46" s="14">
        <v>7.6340000000000005E-2</v>
      </c>
      <c r="C46" s="14">
        <f t="shared" si="1"/>
        <v>1.0793294838036027</v>
      </c>
      <c r="D46" s="14">
        <v>1.593</v>
      </c>
      <c r="E46" s="2">
        <v>4.8000000000000001E-2</v>
      </c>
      <c r="F46" s="18">
        <v>0.96179999999999999</v>
      </c>
    </row>
    <row r="47" spans="1:6">
      <c r="A47" s="2" t="s">
        <v>61</v>
      </c>
      <c r="B47" s="14">
        <v>7.3469999999999994E-2</v>
      </c>
      <c r="C47" s="14">
        <f t="shared" si="1"/>
        <v>1.0762362491001076</v>
      </c>
      <c r="D47" s="14">
        <v>0.4168</v>
      </c>
      <c r="E47" s="2">
        <v>0.17599999999999999</v>
      </c>
      <c r="F47" s="18">
        <v>0.86009999999999998</v>
      </c>
    </row>
    <row r="48" spans="1:6">
      <c r="A48" s="2" t="s">
        <v>73</v>
      </c>
      <c r="B48" s="14">
        <v>6.4329999999999998E-2</v>
      </c>
      <c r="C48" s="14">
        <f t="shared" si="1"/>
        <v>1.0664442673082135</v>
      </c>
      <c r="D48" s="14">
        <v>0.52529999999999999</v>
      </c>
      <c r="E48" s="2">
        <v>0.122</v>
      </c>
      <c r="F48" s="18">
        <v>0.90249999999999997</v>
      </c>
    </row>
    <row r="49" spans="1:8">
      <c r="A49" s="2" t="s">
        <v>47</v>
      </c>
      <c r="B49" s="14">
        <v>3.6130000000000002E-2</v>
      </c>
      <c r="C49" s="14">
        <f t="shared" si="1"/>
        <v>1.0367906205110891</v>
      </c>
      <c r="D49" s="14">
        <v>0.23530000000000001</v>
      </c>
      <c r="E49" s="2">
        <v>0.154</v>
      </c>
      <c r="F49" s="18">
        <v>0.87790000000000001</v>
      </c>
    </row>
    <row r="50" spans="1:8">
      <c r="A50" s="2" t="s">
        <v>46</v>
      </c>
      <c r="B50" s="14">
        <v>3.524E-2</v>
      </c>
      <c r="C50" s="14">
        <f t="shared" si="1"/>
        <v>1.035868287357969</v>
      </c>
      <c r="D50" s="14">
        <v>0.20630000000000001</v>
      </c>
      <c r="E50" s="2">
        <v>0.17100000000000001</v>
      </c>
      <c r="F50" s="18">
        <v>0.86439999999999995</v>
      </c>
    </row>
    <row r="51" spans="1:8">
      <c r="A51" s="2" t="s">
        <v>132</v>
      </c>
      <c r="C51" s="14">
        <f t="shared" si="1"/>
        <v>1</v>
      </c>
      <c r="H51" s="2" t="str">
        <f>IF(C51&gt;1, "Y", "N")</f>
        <v>N</v>
      </c>
    </row>
    <row r="52" spans="1:8">
      <c r="A52" s="2" t="s">
        <v>108</v>
      </c>
      <c r="B52" s="14">
        <v>-3.8630000000000001E-3</v>
      </c>
      <c r="C52" s="14">
        <f t="shared" si="1"/>
        <v>0.99614445178599542</v>
      </c>
      <c r="D52" s="14">
        <v>2.1930000000000001E-3</v>
      </c>
      <c r="E52" s="2">
        <v>-1.7609999999999999</v>
      </c>
      <c r="F52" s="18">
        <v>7.8200000000000006E-2</v>
      </c>
      <c r="G52" s="2" t="s">
        <v>110</v>
      </c>
    </row>
    <row r="53" spans="1:8">
      <c r="A53" s="2" t="s">
        <v>78</v>
      </c>
      <c r="B53" s="14">
        <v>-4.1310000000000001E-3</v>
      </c>
      <c r="C53" s="14">
        <f t="shared" si="1"/>
        <v>0.99587752084326076</v>
      </c>
      <c r="D53" s="14">
        <v>0.28899999999999998</v>
      </c>
      <c r="E53" s="2">
        <v>-1.4E-2</v>
      </c>
      <c r="F53" s="18">
        <v>0.98860000000000003</v>
      </c>
      <c r="H53" s="2" t="str">
        <f>IF(C53&gt;1, "Y", "N")</f>
        <v>N</v>
      </c>
    </row>
    <row r="54" spans="1:8">
      <c r="A54" s="2" t="s">
        <v>83</v>
      </c>
      <c r="B54" s="14">
        <v>-7.2449999999999997E-3</v>
      </c>
      <c r="C54" s="14">
        <f t="shared" si="1"/>
        <v>0.99278118174542873</v>
      </c>
      <c r="D54" s="14">
        <v>0.23749999999999999</v>
      </c>
      <c r="E54" s="2">
        <v>-3.1E-2</v>
      </c>
      <c r="F54" s="18">
        <v>0.97570000000000001</v>
      </c>
    </row>
    <row r="55" spans="1:8">
      <c r="A55" s="2" t="s">
        <v>65</v>
      </c>
      <c r="B55" s="14">
        <v>-1.8069999999999999E-2</v>
      </c>
      <c r="C55" s="14">
        <f t="shared" si="1"/>
        <v>0.98209228349227407</v>
      </c>
      <c r="D55" s="14">
        <v>0.2455</v>
      </c>
      <c r="E55" s="2">
        <v>-7.3999999999999996E-2</v>
      </c>
      <c r="F55" s="18">
        <v>0.94130000000000003</v>
      </c>
    </row>
    <row r="56" spans="1:8">
      <c r="A56" s="2" t="s">
        <v>23</v>
      </c>
      <c r="B56" s="14">
        <v>-2.0109999999999999E-2</v>
      </c>
      <c r="C56" s="14">
        <f t="shared" si="1"/>
        <v>0.98009085738267609</v>
      </c>
      <c r="D56" s="14">
        <v>0.16109999999999999</v>
      </c>
      <c r="E56" s="2">
        <v>-0.125</v>
      </c>
      <c r="F56" s="18">
        <v>0.90069999999999995</v>
      </c>
    </row>
    <row r="57" spans="1:8">
      <c r="A57" s="11" t="s">
        <v>63</v>
      </c>
      <c r="B57" s="14">
        <v>-2.342E-2</v>
      </c>
      <c r="C57" s="14">
        <f t="shared" si="1"/>
        <v>0.97685211971257735</v>
      </c>
      <c r="D57" s="14">
        <v>0.50080000000000002</v>
      </c>
      <c r="E57" s="2">
        <v>-4.7E-2</v>
      </c>
      <c r="F57" s="18">
        <v>0.9627</v>
      </c>
    </row>
    <row r="58" spans="1:8">
      <c r="A58" s="2" t="s">
        <v>28</v>
      </c>
      <c r="B58" s="14">
        <v>-3.7679999999999998E-2</v>
      </c>
      <c r="C58" s="14">
        <f t="shared" si="1"/>
        <v>0.96302105832844542</v>
      </c>
      <c r="D58" s="14">
        <v>4605</v>
      </c>
      <c r="E58" s="2">
        <v>0</v>
      </c>
      <c r="F58" s="18">
        <v>1</v>
      </c>
    </row>
    <row r="59" spans="1:8">
      <c r="A59" s="2" t="s">
        <v>50</v>
      </c>
      <c r="B59" s="14">
        <v>-4.2560000000000001E-2</v>
      </c>
      <c r="C59" s="14">
        <f t="shared" si="1"/>
        <v>0.95833296381808397</v>
      </c>
      <c r="D59" s="14">
        <v>0.80320000000000003</v>
      </c>
      <c r="E59" s="2">
        <v>-5.2999999999999999E-2</v>
      </c>
      <c r="F59" s="18">
        <v>0.9577</v>
      </c>
    </row>
    <row r="60" spans="1:8">
      <c r="A60" s="2" t="s">
        <v>20</v>
      </c>
      <c r="B60" s="14">
        <v>-9.0840000000000004E-2</v>
      </c>
      <c r="C60" s="14">
        <f t="shared" si="1"/>
        <v>0.91316380542025966</v>
      </c>
      <c r="D60" s="14">
        <v>0.23269999999999999</v>
      </c>
      <c r="E60" s="2">
        <v>-0.39</v>
      </c>
      <c r="F60" s="18">
        <v>0.69620000000000004</v>
      </c>
    </row>
    <row r="61" spans="1:8">
      <c r="A61" s="11" t="s">
        <v>56</v>
      </c>
      <c r="B61" s="14">
        <v>-0.1115</v>
      </c>
      <c r="C61" s="14">
        <f t="shared" si="1"/>
        <v>0.89449139140326783</v>
      </c>
      <c r="D61" s="14">
        <v>0.30780000000000002</v>
      </c>
      <c r="E61" s="2">
        <v>-0.36199999999999999</v>
      </c>
      <c r="F61" s="18">
        <v>0.71719999999999995</v>
      </c>
    </row>
    <row r="62" spans="1:8">
      <c r="A62" s="2" t="s">
        <v>33</v>
      </c>
      <c r="B62" s="14">
        <v>-0.1376</v>
      </c>
      <c r="C62" s="14">
        <f t="shared" si="1"/>
        <v>0.87144720091968464</v>
      </c>
      <c r="D62" s="14">
        <v>5193</v>
      </c>
      <c r="E62" s="2">
        <v>0</v>
      </c>
      <c r="F62" s="18">
        <v>1</v>
      </c>
    </row>
    <row r="63" spans="1:8">
      <c r="A63" s="2" t="s">
        <v>45</v>
      </c>
      <c r="B63" s="14">
        <v>-0.13880000000000001</v>
      </c>
      <c r="C63" s="14">
        <f t="shared" si="1"/>
        <v>0.87040209146966419</v>
      </c>
      <c r="D63" s="14">
        <v>0.71589999999999998</v>
      </c>
      <c r="E63" s="2">
        <v>-0.19400000000000001</v>
      </c>
      <c r="F63" s="18">
        <v>0.84630000000000005</v>
      </c>
    </row>
    <row r="64" spans="1:8">
      <c r="A64" s="2" t="s">
        <v>72</v>
      </c>
      <c r="B64" s="14">
        <v>-0.21590000000000001</v>
      </c>
      <c r="C64" s="14">
        <f t="shared" si="1"/>
        <v>0.80581587943247779</v>
      </c>
      <c r="D64" s="14">
        <v>0.22670000000000001</v>
      </c>
      <c r="E64" s="2">
        <v>-0.95299999999999996</v>
      </c>
      <c r="F64" s="18">
        <v>0.34079999999999999</v>
      </c>
    </row>
    <row r="65" spans="1:8">
      <c r="A65" s="2" t="s">
        <v>88</v>
      </c>
      <c r="B65" s="14">
        <v>-0.23719999999999999</v>
      </c>
      <c r="C65" s="14">
        <f t="shared" si="1"/>
        <v>0.78883350553878007</v>
      </c>
      <c r="D65" s="14">
        <v>0.40620000000000001</v>
      </c>
      <c r="E65" s="2">
        <v>-0.58399999999999996</v>
      </c>
      <c r="F65" s="18">
        <v>0.55920000000000003</v>
      </c>
    </row>
    <row r="66" spans="1:8">
      <c r="A66" s="2" t="s">
        <v>60</v>
      </c>
      <c r="B66" s="14">
        <v>-0.2581</v>
      </c>
      <c r="C66" s="14">
        <f t="shared" ref="C66:C97" si="2">EXP(B66)</f>
        <v>0.77251797644656472</v>
      </c>
      <c r="D66" s="14">
        <v>0.23480000000000001</v>
      </c>
      <c r="E66" s="2">
        <v>-1.099</v>
      </c>
      <c r="F66" s="18">
        <v>0.27179999999999999</v>
      </c>
    </row>
    <row r="67" spans="1:8">
      <c r="A67" s="2" t="s">
        <v>64</v>
      </c>
      <c r="B67" s="14">
        <v>-0.27550000000000002</v>
      </c>
      <c r="C67" s="14">
        <f t="shared" si="2"/>
        <v>0.75919243209404896</v>
      </c>
      <c r="D67" s="14">
        <v>0.86180000000000001</v>
      </c>
      <c r="E67" s="2">
        <v>-0.32</v>
      </c>
      <c r="F67" s="18">
        <v>0.74919999999999998</v>
      </c>
    </row>
    <row r="68" spans="1:8">
      <c r="A68" s="2" t="s">
        <v>34</v>
      </c>
      <c r="B68" s="14">
        <v>-0.31259999999999999</v>
      </c>
      <c r="C68" s="14">
        <f t="shared" si="2"/>
        <v>0.73154247104170333</v>
      </c>
      <c r="D68" s="14">
        <v>0.3735</v>
      </c>
      <c r="E68" s="2">
        <v>-0.83699999999999997</v>
      </c>
      <c r="F68" s="18">
        <v>0.4027</v>
      </c>
    </row>
    <row r="69" spans="1:8">
      <c r="A69" s="2" t="s">
        <v>36</v>
      </c>
      <c r="B69" s="14">
        <v>-0.3271</v>
      </c>
      <c r="C69" s="14">
        <f t="shared" si="2"/>
        <v>0.72101163825760284</v>
      </c>
      <c r="D69" s="14">
        <v>1.786</v>
      </c>
      <c r="E69" s="2">
        <v>-0.183</v>
      </c>
      <c r="F69" s="18">
        <v>0.85460000000000003</v>
      </c>
    </row>
    <row r="70" spans="1:8">
      <c r="A70" s="2" t="s">
        <v>22</v>
      </c>
      <c r="B70" s="14">
        <v>-0.37290000000000001</v>
      </c>
      <c r="C70" s="14">
        <f t="shared" si="2"/>
        <v>0.68873410281068115</v>
      </c>
      <c r="D70" s="14">
        <v>6073</v>
      </c>
      <c r="E70" s="2">
        <v>0</v>
      </c>
      <c r="F70" s="18">
        <v>1</v>
      </c>
    </row>
    <row r="71" spans="1:8">
      <c r="A71" s="2" t="s">
        <v>24</v>
      </c>
      <c r="B71" s="14">
        <v>-0.51519999999999999</v>
      </c>
      <c r="C71" s="14">
        <f t="shared" si="2"/>
        <v>0.59738110644852915</v>
      </c>
      <c r="D71" s="14">
        <v>0.48259999999999997</v>
      </c>
      <c r="E71" s="2">
        <v>-1.0680000000000001</v>
      </c>
      <c r="F71" s="18">
        <v>0.28570000000000001</v>
      </c>
    </row>
    <row r="72" spans="1:8">
      <c r="A72" s="2" t="s">
        <v>59</v>
      </c>
      <c r="B72" s="14">
        <v>-0.61550000000000005</v>
      </c>
      <c r="C72" s="14">
        <f t="shared" si="2"/>
        <v>0.54037064243051181</v>
      </c>
      <c r="D72" s="14">
        <v>0.78710000000000002</v>
      </c>
      <c r="E72" s="2">
        <v>-0.78200000000000003</v>
      </c>
      <c r="F72" s="18">
        <v>0.43419999999999997</v>
      </c>
    </row>
    <row r="73" spans="1:8">
      <c r="A73" s="2" t="s">
        <v>87</v>
      </c>
      <c r="B73" s="14">
        <v>-0.69810000000000005</v>
      </c>
      <c r="C73" s="14">
        <f t="shared" si="2"/>
        <v>0.49752971277303604</v>
      </c>
      <c r="D73" s="14">
        <v>0.39460000000000001</v>
      </c>
      <c r="E73" s="2">
        <v>-1.7689999999999999</v>
      </c>
      <c r="F73" s="18">
        <v>7.6899999999999996E-2</v>
      </c>
      <c r="G73" s="2" t="s">
        <v>110</v>
      </c>
    </row>
    <row r="74" spans="1:8">
      <c r="A74" s="2" t="s">
        <v>67</v>
      </c>
      <c r="B74" s="14">
        <v>-0.83160000000000001</v>
      </c>
      <c r="C74" s="14">
        <f t="shared" si="2"/>
        <v>0.43535216530895032</v>
      </c>
      <c r="D74" s="14">
        <v>0.55389999999999995</v>
      </c>
      <c r="E74" s="2">
        <v>-1.5009999999999999</v>
      </c>
      <c r="F74" s="18">
        <v>0.1333</v>
      </c>
    </row>
    <row r="75" spans="1:8">
      <c r="A75" s="2" t="s">
        <v>49</v>
      </c>
      <c r="B75" s="14">
        <v>-0.998</v>
      </c>
      <c r="C75" s="14">
        <f t="shared" si="2"/>
        <v>0.36861593630341882</v>
      </c>
      <c r="D75" s="14">
        <v>0.53090000000000004</v>
      </c>
      <c r="E75" s="2">
        <v>-1.88</v>
      </c>
      <c r="F75" s="18">
        <v>6.0100000000000001E-2</v>
      </c>
      <c r="G75" s="2" t="s">
        <v>110</v>
      </c>
    </row>
    <row r="76" spans="1:8">
      <c r="A76" s="2" t="s">
        <v>74</v>
      </c>
      <c r="B76" s="14">
        <v>-1.0489999999999999</v>
      </c>
      <c r="C76" s="14">
        <f t="shared" si="2"/>
        <v>0.35028786188747862</v>
      </c>
      <c r="D76" s="14">
        <v>0.59689999999999999</v>
      </c>
      <c r="E76" s="2">
        <v>-1.7569999999999999</v>
      </c>
      <c r="F76" s="18">
        <v>7.8899999999999998E-2</v>
      </c>
      <c r="G76" s="2" t="s">
        <v>110</v>
      </c>
    </row>
    <row r="77" spans="1:8">
      <c r="A77" s="2" t="s">
        <v>79</v>
      </c>
      <c r="B77" s="14">
        <v>-1.149</v>
      </c>
      <c r="C77" s="14">
        <f t="shared" si="2"/>
        <v>0.31695356451960294</v>
      </c>
      <c r="D77" s="14">
        <v>0.99029999999999996</v>
      </c>
      <c r="E77" s="2">
        <v>-1.161</v>
      </c>
      <c r="F77" s="18">
        <v>0.24579999999999999</v>
      </c>
    </row>
    <row r="78" spans="1:8">
      <c r="A78" s="2" t="s">
        <v>7</v>
      </c>
      <c r="B78" s="14">
        <v>-1.1579999999999999</v>
      </c>
      <c r="C78" s="14">
        <f t="shared" si="2"/>
        <v>0.31411378063492296</v>
      </c>
      <c r="D78" s="14">
        <v>0.19589999999999999</v>
      </c>
      <c r="E78" s="2">
        <v>-5.9119999999999999</v>
      </c>
      <c r="F78" s="18">
        <v>3.3799999999999999E-9</v>
      </c>
      <c r="G78" s="2" t="s">
        <v>103</v>
      </c>
      <c r="H78" s="2" t="str">
        <f t="shared" ref="H78:H86" si="3">IF(C78&gt;1, "Y", "N")</f>
        <v>N</v>
      </c>
    </row>
    <row r="79" spans="1:8">
      <c r="A79" s="2" t="s">
        <v>18</v>
      </c>
      <c r="B79" s="14">
        <v>-1.335</v>
      </c>
      <c r="C79" s="14">
        <f t="shared" si="2"/>
        <v>0.26315817545602871</v>
      </c>
      <c r="D79" s="14">
        <v>0.14349999999999999</v>
      </c>
      <c r="E79" s="2">
        <v>-9.3049999999999997</v>
      </c>
      <c r="F79" s="18" t="s">
        <v>102</v>
      </c>
      <c r="G79" s="2" t="s">
        <v>103</v>
      </c>
      <c r="H79" s="2" t="str">
        <f t="shared" si="3"/>
        <v>N</v>
      </c>
    </row>
    <row r="80" spans="1:8">
      <c r="A80" s="2" t="s">
        <v>26</v>
      </c>
      <c r="B80" s="14">
        <v>-1.4419999999999999</v>
      </c>
      <c r="C80" s="14">
        <f t="shared" si="2"/>
        <v>0.2364543767045291</v>
      </c>
      <c r="D80" s="14">
        <v>0.22750000000000001</v>
      </c>
      <c r="E80" s="2">
        <v>-6.3390000000000004</v>
      </c>
      <c r="F80" s="18">
        <v>2.31E-10</v>
      </c>
      <c r="G80" s="2" t="s">
        <v>103</v>
      </c>
      <c r="H80" s="2" t="str">
        <f t="shared" si="3"/>
        <v>N</v>
      </c>
    </row>
    <row r="81" spans="1:8">
      <c r="A81" s="2" t="s">
        <v>70</v>
      </c>
      <c r="B81" s="14">
        <v>-1.663</v>
      </c>
      <c r="C81" s="14">
        <f t="shared" si="2"/>
        <v>0.18956941793164234</v>
      </c>
      <c r="D81" s="14">
        <v>0.81699999999999995</v>
      </c>
      <c r="E81" s="6">
        <v>-2.036</v>
      </c>
      <c r="F81" s="18">
        <v>4.1799999999999997E-2</v>
      </c>
      <c r="G81" s="2" t="s">
        <v>112</v>
      </c>
      <c r="H81" s="2" t="str">
        <f t="shared" si="3"/>
        <v>N</v>
      </c>
    </row>
    <row r="82" spans="1:8">
      <c r="A82" s="2" t="s">
        <v>14</v>
      </c>
      <c r="B82" s="14">
        <v>-3.0459999999999998</v>
      </c>
      <c r="C82" s="14">
        <f t="shared" si="2"/>
        <v>4.7548739465768049E-2</v>
      </c>
      <c r="D82" s="14">
        <v>0.14130000000000001</v>
      </c>
      <c r="E82" s="2">
        <v>-21.550999999999998</v>
      </c>
      <c r="F82" s="18" t="s">
        <v>102</v>
      </c>
      <c r="G82" s="2" t="s">
        <v>103</v>
      </c>
      <c r="H82" s="2" t="str">
        <f t="shared" si="3"/>
        <v>N</v>
      </c>
    </row>
    <row r="83" spans="1:8">
      <c r="A83" s="2" t="s">
        <v>8</v>
      </c>
      <c r="B83" s="14">
        <v>-3.887</v>
      </c>
      <c r="C83" s="14">
        <f t="shared" si="2"/>
        <v>2.0506774172181743E-2</v>
      </c>
      <c r="D83" s="14">
        <v>0.77980000000000005</v>
      </c>
      <c r="E83" s="2">
        <v>-4.984</v>
      </c>
      <c r="F83" s="18">
        <v>6.2200000000000004E-7</v>
      </c>
      <c r="G83" s="2" t="s">
        <v>103</v>
      </c>
      <c r="H83" s="2" t="str">
        <f t="shared" si="3"/>
        <v>N</v>
      </c>
    </row>
    <row r="84" spans="1:8">
      <c r="A84" s="2" t="s">
        <v>12</v>
      </c>
      <c r="B84" s="14">
        <v>-6.2169999999999996</v>
      </c>
      <c r="C84" s="14">
        <f t="shared" si="2"/>
        <v>1.9952219134787581E-3</v>
      </c>
      <c r="D84" s="14">
        <v>0.73550000000000004</v>
      </c>
      <c r="E84" s="2">
        <v>-8.4529999999999994</v>
      </c>
      <c r="F84" s="18" t="s">
        <v>102</v>
      </c>
      <c r="G84" s="2" t="s">
        <v>103</v>
      </c>
      <c r="H84" s="2" t="str">
        <f t="shared" si="3"/>
        <v>N</v>
      </c>
    </row>
    <row r="85" spans="1:8">
      <c r="A85" s="2" t="s">
        <v>9</v>
      </c>
      <c r="B85" s="14">
        <v>-6.673</v>
      </c>
      <c r="C85" s="14">
        <f t="shared" si="2"/>
        <v>1.2645992568450805E-3</v>
      </c>
      <c r="D85" s="14">
        <v>0.30869999999999997</v>
      </c>
      <c r="E85" s="2">
        <v>-21.617999999999999</v>
      </c>
      <c r="F85" s="18" t="s">
        <v>102</v>
      </c>
      <c r="G85" s="2" t="s">
        <v>103</v>
      </c>
      <c r="H85" s="2" t="str">
        <f t="shared" si="3"/>
        <v>N</v>
      </c>
    </row>
    <row r="86" spans="1:8">
      <c r="A86" s="2" t="s">
        <v>90</v>
      </c>
      <c r="B86" s="14">
        <v>-8.0850000000000009</v>
      </c>
      <c r="C86" s="14">
        <f t="shared" si="2"/>
        <v>3.0812654468605194E-4</v>
      </c>
      <c r="D86" s="14">
        <v>0.50919999999999999</v>
      </c>
      <c r="E86" s="2">
        <v>-15.875999999999999</v>
      </c>
      <c r="F86" s="18" t="s">
        <v>102</v>
      </c>
      <c r="G86" s="2" t="s">
        <v>103</v>
      </c>
      <c r="H86" s="2" t="str">
        <f t="shared" si="3"/>
        <v>N</v>
      </c>
    </row>
    <row r="87" spans="1:8">
      <c r="A87" s="2" t="s">
        <v>32</v>
      </c>
      <c r="B87" s="14">
        <v>-12.45</v>
      </c>
      <c r="C87" s="14">
        <f t="shared" si="2"/>
        <v>3.9177227660243348E-6</v>
      </c>
      <c r="D87" s="14">
        <v>5160</v>
      </c>
      <c r="E87" s="2">
        <v>-2E-3</v>
      </c>
      <c r="F87" s="18">
        <v>0.99809999999999999</v>
      </c>
    </row>
    <row r="88" spans="1:8">
      <c r="A88" s="2" t="s">
        <v>84</v>
      </c>
      <c r="B88" s="14">
        <v>-14.97</v>
      </c>
      <c r="C88" s="14">
        <f t="shared" si="2"/>
        <v>3.1521843310800805E-7</v>
      </c>
      <c r="D88" s="14">
        <v>48200</v>
      </c>
      <c r="E88" s="2">
        <v>0</v>
      </c>
      <c r="F88" s="18">
        <v>0.99980000000000002</v>
      </c>
    </row>
    <row r="89" spans="1:8">
      <c r="A89" s="2" t="s">
        <v>25</v>
      </c>
      <c r="B89" s="14">
        <v>-15.71</v>
      </c>
      <c r="C89" s="14">
        <f t="shared" si="2"/>
        <v>1.5039510086456694E-7</v>
      </c>
      <c r="D89" s="14">
        <v>4020</v>
      </c>
      <c r="E89" s="2">
        <v>-4.0000000000000001E-3</v>
      </c>
      <c r="F89" s="18">
        <v>0.99690000000000001</v>
      </c>
    </row>
    <row r="90" spans="1:8">
      <c r="A90" s="2" t="s">
        <v>27</v>
      </c>
      <c r="B90" s="14">
        <v>-20.98</v>
      </c>
      <c r="C90" s="14">
        <f t="shared" si="2"/>
        <v>7.7357383093895748E-10</v>
      </c>
      <c r="D90" s="14">
        <v>3224</v>
      </c>
      <c r="E90" s="2">
        <v>-7.0000000000000001E-3</v>
      </c>
      <c r="F90" s="18">
        <v>0.99480000000000002</v>
      </c>
    </row>
    <row r="91" spans="1:8">
      <c r="A91" s="2" t="s">
        <v>89</v>
      </c>
      <c r="B91" s="14">
        <v>-21.14</v>
      </c>
      <c r="C91" s="14">
        <f t="shared" si="2"/>
        <v>6.5919613534143059E-10</v>
      </c>
      <c r="D91" s="14">
        <v>13320</v>
      </c>
      <c r="E91" s="2">
        <v>-2E-3</v>
      </c>
      <c r="F91" s="18">
        <v>0.99870000000000003</v>
      </c>
    </row>
    <row r="92" spans="1:8">
      <c r="A92" s="2" t="s">
        <v>15</v>
      </c>
      <c r="B92" s="14">
        <v>-21.85</v>
      </c>
      <c r="C92" s="14">
        <f t="shared" si="2"/>
        <v>3.240899549293071E-10</v>
      </c>
      <c r="D92" s="14">
        <v>1801</v>
      </c>
      <c r="E92" s="2">
        <v>-1.2E-2</v>
      </c>
      <c r="F92" s="18">
        <v>0.99029999999999996</v>
      </c>
    </row>
    <row r="93" spans="1:8">
      <c r="A93" s="2" t="s">
        <v>13</v>
      </c>
      <c r="B93" s="14">
        <v>-23.15</v>
      </c>
      <c r="C93" s="14">
        <f t="shared" si="2"/>
        <v>8.8324816521196642E-11</v>
      </c>
      <c r="D93" s="14">
        <v>884.2</v>
      </c>
      <c r="E93" s="2">
        <v>-2.5999999999999999E-2</v>
      </c>
      <c r="F93" s="18">
        <v>0.97909999999999997</v>
      </c>
    </row>
    <row r="94" spans="1:8">
      <c r="A94" s="2" t="s">
        <v>4</v>
      </c>
      <c r="B94" s="14">
        <v>-24.15</v>
      </c>
      <c r="C94" s="14">
        <f t="shared" si="2"/>
        <v>3.2492884143387998E-11</v>
      </c>
      <c r="D94" s="14">
        <v>765.8</v>
      </c>
      <c r="E94" s="2">
        <v>-3.2000000000000001E-2</v>
      </c>
      <c r="F94" s="18">
        <v>0.9748</v>
      </c>
    </row>
    <row r="95" spans="1:8">
      <c r="A95" s="2" t="s">
        <v>5</v>
      </c>
      <c r="B95" s="14">
        <v>-24.27</v>
      </c>
      <c r="C95" s="14">
        <f t="shared" si="2"/>
        <v>2.8818602994653656E-11</v>
      </c>
      <c r="D95" s="14">
        <v>659.9</v>
      </c>
      <c r="E95" s="2">
        <v>-3.6999999999999998E-2</v>
      </c>
      <c r="F95" s="18">
        <v>0.97070000000000001</v>
      </c>
    </row>
    <row r="96" spans="1:8">
      <c r="A96" s="2" t="s">
        <v>95</v>
      </c>
      <c r="B96" s="14">
        <v>-24.27</v>
      </c>
      <c r="C96" s="14">
        <f t="shared" si="2"/>
        <v>2.8818602994653656E-11</v>
      </c>
      <c r="D96" s="14">
        <v>8409</v>
      </c>
      <c r="E96" s="2">
        <v>-3.0000000000000001E-3</v>
      </c>
      <c r="F96" s="18">
        <v>0.99770000000000003</v>
      </c>
    </row>
    <row r="97" spans="1:6">
      <c r="A97" s="2" t="s">
        <v>93</v>
      </c>
      <c r="B97" s="14">
        <v>-25.88</v>
      </c>
      <c r="C97" s="14">
        <f t="shared" si="2"/>
        <v>5.7604817935801365E-12</v>
      </c>
      <c r="D97" s="14">
        <v>3812</v>
      </c>
      <c r="E97" s="2">
        <v>-7.0000000000000001E-3</v>
      </c>
      <c r="F97" s="18">
        <v>0.99460000000000004</v>
      </c>
    </row>
    <row r="98" spans="1:6">
      <c r="A98" s="2" t="s">
        <v>92</v>
      </c>
      <c r="B98" s="14">
        <v>-26.68</v>
      </c>
      <c r="C98" s="14">
        <f t="shared" ref="C98:C129" si="4">EXP(B98)</f>
        <v>2.5883513171254756E-12</v>
      </c>
      <c r="D98" s="14">
        <v>8931</v>
      </c>
      <c r="E98" s="2">
        <v>-3.0000000000000001E-3</v>
      </c>
      <c r="F98" s="18">
        <v>0.99760000000000004</v>
      </c>
    </row>
    <row r="99" spans="1:6">
      <c r="A99" s="2" t="s">
        <v>94</v>
      </c>
      <c r="B99" s="14">
        <v>-47.86</v>
      </c>
      <c r="C99" s="14">
        <f t="shared" si="4"/>
        <v>1.6393289034492922E-21</v>
      </c>
      <c r="D99" s="14">
        <v>712.7</v>
      </c>
      <c r="E99" s="2">
        <v>-6.7000000000000004E-2</v>
      </c>
      <c r="F99" s="18">
        <v>0.94650000000000001</v>
      </c>
    </row>
  </sheetData>
  <autoFilter ref="A1:H1" xr:uid="{55EC8882-04AF-5047-98CB-3D1A04F90EE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E287-2BD6-CC4B-A527-9570EBAD7AAB}">
  <sheetPr filterMode="1"/>
  <dimension ref="A1:H69"/>
  <sheetViews>
    <sheetView tabSelected="1" zoomScale="110" zoomScaleNormal="110" workbookViewId="0">
      <pane ySplit="1" topLeftCell="A2" activePane="bottomLeft" state="frozen"/>
      <selection pane="bottomLeft" activeCell="C1" sqref="C1"/>
    </sheetView>
  </sheetViews>
  <sheetFormatPr baseColWidth="10" defaultRowHeight="14"/>
  <cols>
    <col min="1" max="1" width="43.6640625" style="2" customWidth="1"/>
    <col min="2" max="2" width="11" style="2" bestFit="1" customWidth="1"/>
    <col min="3" max="3" width="14.33203125" style="2" customWidth="1"/>
    <col min="4" max="4" width="12" style="2" customWidth="1"/>
    <col min="5" max="5" width="11" style="2" bestFit="1" customWidth="1"/>
    <col min="6" max="6" width="11.33203125" style="2" bestFit="1" customWidth="1"/>
    <col min="7" max="7" width="15.6640625" style="2" customWidth="1"/>
    <col min="8" max="16384" width="10.83203125" style="2"/>
  </cols>
  <sheetData>
    <row r="1" spans="1:8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  <c r="H1" s="9" t="s">
        <v>134</v>
      </c>
    </row>
    <row r="2" spans="1:8">
      <c r="A2" s="2" t="s">
        <v>94</v>
      </c>
      <c r="B2" s="2">
        <v>3.4645315999999999</v>
      </c>
      <c r="C2" s="2">
        <v>31.961484899999999</v>
      </c>
      <c r="D2" s="1">
        <v>1.3194000000000001E-2</v>
      </c>
      <c r="E2" s="1">
        <v>262.584</v>
      </c>
      <c r="F2" s="2" t="s">
        <v>102</v>
      </c>
      <c r="G2" s="2" t="s">
        <v>103</v>
      </c>
      <c r="H2" s="2" t="str">
        <f>IF(C2&gt;1, "Y", "N")</f>
        <v>Y</v>
      </c>
    </row>
    <row r="3" spans="1:8">
      <c r="A3" s="2" t="s">
        <v>85</v>
      </c>
      <c r="B3" s="2">
        <v>1.0360303</v>
      </c>
      <c r="C3" s="2">
        <v>2.8180081000000001</v>
      </c>
      <c r="D3" s="1">
        <v>0.1723548</v>
      </c>
      <c r="E3" s="1">
        <v>6.0110000000000001</v>
      </c>
      <c r="F3" s="3">
        <v>1.9399999999999999E-9</v>
      </c>
      <c r="G3" s="2" t="s">
        <v>103</v>
      </c>
      <c r="H3" s="2" t="str">
        <f>IF(C3&gt;1, "Y", "N")</f>
        <v>Y</v>
      </c>
    </row>
    <row r="4" spans="1:8">
      <c r="A4" s="2" t="s">
        <v>107</v>
      </c>
      <c r="B4" s="2">
        <v>0.88806759999999996</v>
      </c>
      <c r="C4" s="2">
        <v>2.4304285999999999</v>
      </c>
      <c r="D4" s="1">
        <v>1.9578000000000002E-2</v>
      </c>
      <c r="E4" s="1">
        <v>45.36</v>
      </c>
      <c r="F4" s="2" t="s">
        <v>102</v>
      </c>
      <c r="G4" s="2" t="s">
        <v>103</v>
      </c>
      <c r="H4" s="2" t="str">
        <f>IF(C4&gt;1, "Y", "N")</f>
        <v>Y</v>
      </c>
    </row>
    <row r="5" spans="1:8">
      <c r="A5" s="2" t="s">
        <v>95</v>
      </c>
      <c r="B5" s="2">
        <v>0.35645779999999999</v>
      </c>
      <c r="C5" s="2">
        <v>1.4282611999999999</v>
      </c>
      <c r="D5" s="1">
        <v>5.8371300000000001E-2</v>
      </c>
      <c r="E5" s="1">
        <v>6.1070000000000002</v>
      </c>
      <c r="F5" s="3">
        <v>1.07E-9</v>
      </c>
      <c r="G5" s="2" t="s">
        <v>103</v>
      </c>
      <c r="H5" s="2" t="str">
        <f>IF(C5&gt;1, "Y", "N")</f>
        <v>Y</v>
      </c>
    </row>
    <row r="6" spans="1:8" hidden="1">
      <c r="A6" s="2" t="s">
        <v>89</v>
      </c>
      <c r="B6" s="2">
        <v>0.3361827</v>
      </c>
      <c r="C6" s="2">
        <v>1.3995948</v>
      </c>
      <c r="D6" s="1">
        <v>0.29785339999999999</v>
      </c>
      <c r="E6" s="1">
        <v>1.129</v>
      </c>
      <c r="F6" s="2">
        <v>0.25907000000000002</v>
      </c>
    </row>
    <row r="7" spans="1:8">
      <c r="A7" s="2" t="s">
        <v>27</v>
      </c>
      <c r="B7" s="2">
        <v>0.3220498</v>
      </c>
      <c r="C7" s="2">
        <v>1.3799535000000001</v>
      </c>
      <c r="D7" s="1">
        <v>3.8999499999999999E-2</v>
      </c>
      <c r="E7" s="1">
        <v>8.2579999999999991</v>
      </c>
      <c r="F7" s="2" t="s">
        <v>102</v>
      </c>
      <c r="G7" s="2" t="s">
        <v>103</v>
      </c>
      <c r="H7" s="2" t="str">
        <f>IF(C7&gt;1, "Y", "N")</f>
        <v>Y</v>
      </c>
    </row>
    <row r="8" spans="1:8" hidden="1">
      <c r="A8" s="2" t="s">
        <v>84</v>
      </c>
      <c r="B8" s="2">
        <v>0.2399667</v>
      </c>
      <c r="C8" s="2">
        <v>1.2712068000000001</v>
      </c>
      <c r="D8" s="1">
        <v>0.29766429999999999</v>
      </c>
      <c r="E8" s="1">
        <v>0.80600000000000005</v>
      </c>
      <c r="F8" s="2">
        <v>0.42018</v>
      </c>
    </row>
    <row r="9" spans="1:8">
      <c r="A9" s="2" t="s">
        <v>51</v>
      </c>
      <c r="B9" s="2">
        <v>0.21276139999999999</v>
      </c>
      <c r="C9" s="2">
        <v>1.2370893999999999</v>
      </c>
      <c r="D9" s="1">
        <v>7.1316400000000002E-2</v>
      </c>
      <c r="E9" s="7">
        <v>2.9830000000000001</v>
      </c>
      <c r="F9" s="2">
        <v>2.8600000000000001E-3</v>
      </c>
      <c r="G9" s="2" t="s">
        <v>111</v>
      </c>
      <c r="H9" s="2" t="str">
        <f>IF(C9&gt;1, "Y", "N")</f>
        <v>Y</v>
      </c>
    </row>
    <row r="10" spans="1:8" hidden="1">
      <c r="A10" s="2" t="s">
        <v>38</v>
      </c>
      <c r="B10" s="2">
        <v>0.2107849</v>
      </c>
      <c r="C10" s="2">
        <v>1.2346467000000001</v>
      </c>
      <c r="D10" s="1">
        <v>0.29832229999999998</v>
      </c>
      <c r="E10" s="1">
        <v>0.70699999999999996</v>
      </c>
      <c r="F10" s="2">
        <v>0.47986000000000001</v>
      </c>
    </row>
    <row r="11" spans="1:8">
      <c r="A11" s="2" t="s">
        <v>18</v>
      </c>
      <c r="B11" s="2">
        <v>0.16457640000000001</v>
      </c>
      <c r="C11" s="2">
        <v>1.1788936999999999</v>
      </c>
      <c r="D11" s="1">
        <v>1.27461E-2</v>
      </c>
      <c r="E11" s="1">
        <v>12.912000000000001</v>
      </c>
      <c r="F11" s="2" t="s">
        <v>102</v>
      </c>
      <c r="G11" s="2" t="s">
        <v>103</v>
      </c>
      <c r="H11" s="2" t="str">
        <f t="shared" ref="H11:H17" si="0">IF(C11&gt;1, "Y", "N")</f>
        <v>Y</v>
      </c>
    </row>
    <row r="12" spans="1:8">
      <c r="A12" s="2" t="s">
        <v>61</v>
      </c>
      <c r="B12" s="2">
        <v>0.1606639</v>
      </c>
      <c r="C12" s="2">
        <v>1.1742903</v>
      </c>
      <c r="D12" s="1">
        <v>3.4288399999999997E-2</v>
      </c>
      <c r="E12" s="1">
        <v>4.6859999999999999</v>
      </c>
      <c r="F12" s="3">
        <v>2.8399999999999999E-6</v>
      </c>
      <c r="G12" s="2" t="s">
        <v>103</v>
      </c>
      <c r="H12" s="2" t="str">
        <f t="shared" si="0"/>
        <v>Y</v>
      </c>
    </row>
    <row r="13" spans="1:8">
      <c r="A13" s="2" t="s">
        <v>26</v>
      </c>
      <c r="B13" s="2">
        <v>0.129021</v>
      </c>
      <c r="C13" s="2">
        <v>1.1377139999999999</v>
      </c>
      <c r="D13" s="1">
        <v>1.9465E-2</v>
      </c>
      <c r="E13" s="1">
        <v>6.6280000000000001</v>
      </c>
      <c r="F13" s="3">
        <v>3.6500000000000003E-11</v>
      </c>
      <c r="G13" s="2" t="s">
        <v>103</v>
      </c>
      <c r="H13" s="2" t="str">
        <f t="shared" si="0"/>
        <v>Y</v>
      </c>
    </row>
    <row r="14" spans="1:8">
      <c r="A14" s="2" t="s">
        <v>67</v>
      </c>
      <c r="B14" s="2">
        <v>0.1259557</v>
      </c>
      <c r="C14" s="2">
        <v>1.1342319999999999</v>
      </c>
      <c r="D14" s="1">
        <v>5.8729900000000002E-2</v>
      </c>
      <c r="E14" s="7">
        <v>2.145</v>
      </c>
      <c r="F14" s="2">
        <v>3.2009999999999997E-2</v>
      </c>
      <c r="G14" s="2" t="s">
        <v>112</v>
      </c>
      <c r="H14" s="2" t="str">
        <f t="shared" si="0"/>
        <v>Y</v>
      </c>
    </row>
    <row r="15" spans="1:8">
      <c r="A15" s="2" t="s">
        <v>87</v>
      </c>
      <c r="B15" s="2">
        <v>0.116743</v>
      </c>
      <c r="C15" s="2">
        <v>1.1238305</v>
      </c>
      <c r="D15" s="1">
        <v>4.22318E-2</v>
      </c>
      <c r="E15" s="7">
        <v>2.7639999999999998</v>
      </c>
      <c r="F15" s="2">
        <v>5.7200000000000003E-3</v>
      </c>
      <c r="G15" s="2" t="s">
        <v>111</v>
      </c>
      <c r="H15" s="2" t="str">
        <f t="shared" si="0"/>
        <v>Y</v>
      </c>
    </row>
    <row r="16" spans="1:8">
      <c r="A16" s="2" t="s">
        <v>40</v>
      </c>
      <c r="B16" s="2">
        <v>0.11327470000000001</v>
      </c>
      <c r="C16" s="2">
        <v>1.1199395000000001</v>
      </c>
      <c r="D16" s="1">
        <v>3.4753399999999997E-2</v>
      </c>
      <c r="E16" s="7">
        <v>3.2589999999999999</v>
      </c>
      <c r="F16" s="2">
        <v>1.1199999999999999E-3</v>
      </c>
      <c r="G16" s="2" t="s">
        <v>111</v>
      </c>
      <c r="H16" s="2" t="str">
        <f t="shared" si="0"/>
        <v>Y</v>
      </c>
    </row>
    <row r="17" spans="1:8">
      <c r="A17" s="2" t="s">
        <v>57</v>
      </c>
      <c r="B17" s="2">
        <v>0.10743999999999999</v>
      </c>
      <c r="C17" s="2">
        <v>1.1134241</v>
      </c>
      <c r="D17" s="1">
        <v>2.2705199999999998E-2</v>
      </c>
      <c r="E17" s="1">
        <v>4.7320000000000002</v>
      </c>
      <c r="F17" s="3">
        <v>2.2699999999999999E-6</v>
      </c>
      <c r="G17" s="2" t="s">
        <v>103</v>
      </c>
      <c r="H17" s="2" t="str">
        <f t="shared" si="0"/>
        <v>Y</v>
      </c>
    </row>
    <row r="18" spans="1:8" hidden="1">
      <c r="A18" s="2" t="s">
        <v>42</v>
      </c>
      <c r="B18" s="2">
        <v>0.10332429999999999</v>
      </c>
      <c r="C18" s="2">
        <v>1.108851</v>
      </c>
      <c r="D18" s="1">
        <v>6.6157800000000003E-2</v>
      </c>
      <c r="E18" s="1">
        <v>1.5620000000000001</v>
      </c>
      <c r="F18" s="2">
        <v>0.11838</v>
      </c>
    </row>
    <row r="19" spans="1:8" hidden="1">
      <c r="A19" s="2" t="s">
        <v>74</v>
      </c>
      <c r="B19" s="2">
        <v>0.10083250000000001</v>
      </c>
      <c r="C19" s="2">
        <v>1.1060913999999999</v>
      </c>
      <c r="D19" s="1">
        <v>9.5013299999999995E-2</v>
      </c>
      <c r="E19" s="1">
        <v>1.0609999999999999</v>
      </c>
      <c r="F19" s="2">
        <v>0.28860999999999998</v>
      </c>
    </row>
    <row r="20" spans="1:8" hidden="1">
      <c r="A20" s="2" t="s">
        <v>68</v>
      </c>
      <c r="B20" s="2">
        <v>9.4643599999999994E-2</v>
      </c>
      <c r="C20" s="2">
        <v>1.099267</v>
      </c>
      <c r="D20" s="1">
        <v>5.2637099999999999E-2</v>
      </c>
      <c r="E20" s="1">
        <v>1.798</v>
      </c>
      <c r="F20" s="2">
        <v>7.2209999999999996E-2</v>
      </c>
    </row>
    <row r="21" spans="1:8">
      <c r="A21" s="2" t="s">
        <v>43</v>
      </c>
      <c r="B21" s="2">
        <v>8.9219599999999996E-2</v>
      </c>
      <c r="C21" s="2">
        <v>1.0933207</v>
      </c>
      <c r="D21" s="1">
        <v>2.8253199999999999E-2</v>
      </c>
      <c r="E21" s="7">
        <v>3.1579999999999999</v>
      </c>
      <c r="F21" s="2">
        <v>1.6000000000000001E-3</v>
      </c>
      <c r="G21" s="2" t="s">
        <v>111</v>
      </c>
      <c r="H21" s="2" t="str">
        <f>IF(C21&gt;1, "Y", "N")</f>
        <v>Y</v>
      </c>
    </row>
    <row r="22" spans="1:8" hidden="1">
      <c r="A22" s="2" t="s">
        <v>50</v>
      </c>
      <c r="B22" s="2">
        <v>8.89075E-2</v>
      </c>
      <c r="C22" s="2">
        <v>1.0929796000000001</v>
      </c>
      <c r="D22" s="1">
        <v>7.7882199999999999E-2</v>
      </c>
      <c r="E22" s="1">
        <v>1.1419999999999999</v>
      </c>
      <c r="F22" s="2">
        <v>0.25368000000000002</v>
      </c>
    </row>
    <row r="23" spans="1:8" hidden="1">
      <c r="A23" s="2" t="s">
        <v>36</v>
      </c>
      <c r="B23" s="2">
        <v>7.8155500000000003E-2</v>
      </c>
      <c r="C23" s="2">
        <v>1.0812908000000001</v>
      </c>
      <c r="D23" s="1">
        <v>0.21070130000000001</v>
      </c>
      <c r="E23" s="1">
        <v>0.371</v>
      </c>
      <c r="F23" s="2">
        <v>0.7107</v>
      </c>
    </row>
    <row r="24" spans="1:8">
      <c r="A24" s="2" t="s">
        <v>75</v>
      </c>
      <c r="B24" s="2">
        <v>7.7650800000000006E-2</v>
      </c>
      <c r="C24" s="2">
        <v>1.0807450999999999</v>
      </c>
      <c r="D24" s="1">
        <v>1.8794999999999999E-2</v>
      </c>
      <c r="E24" s="1">
        <v>4.1310000000000002</v>
      </c>
      <c r="F24" s="3">
        <v>3.65E-5</v>
      </c>
      <c r="G24" s="2" t="s">
        <v>103</v>
      </c>
      <c r="H24" s="2" t="str">
        <f>IF(C24&gt;1, "Y", "N")</f>
        <v>Y</v>
      </c>
    </row>
    <row r="25" spans="1:8">
      <c r="A25" s="2" t="s">
        <v>65</v>
      </c>
      <c r="B25" s="2">
        <v>7.5668399999999997E-2</v>
      </c>
      <c r="C25" s="2">
        <v>1.0786049</v>
      </c>
      <c r="D25" s="1">
        <v>2.3967200000000001E-2</v>
      </c>
      <c r="E25" s="7">
        <v>3.157</v>
      </c>
      <c r="F25" s="2">
        <v>1.6000000000000001E-3</v>
      </c>
      <c r="G25" s="2" t="s">
        <v>111</v>
      </c>
      <c r="H25" s="2" t="str">
        <f>IF(C25&gt;1, "Y", "N")</f>
        <v>Y</v>
      </c>
    </row>
    <row r="26" spans="1:8" hidden="1">
      <c r="A26" s="2" t="s">
        <v>49</v>
      </c>
      <c r="B26" s="2">
        <v>7.4535599999999994E-2</v>
      </c>
      <c r="C26" s="2">
        <v>1.0773836999999999</v>
      </c>
      <c r="D26" s="1">
        <v>5.26731E-2</v>
      </c>
      <c r="E26" s="1">
        <v>1.415</v>
      </c>
      <c r="F26" s="2">
        <v>0.15709999999999999</v>
      </c>
    </row>
    <row r="27" spans="1:8">
      <c r="A27" s="2" t="s">
        <v>72</v>
      </c>
      <c r="B27" s="2">
        <v>6.9738400000000006E-2</v>
      </c>
      <c r="C27" s="2">
        <v>1.0722275999999999</v>
      </c>
      <c r="D27" s="1">
        <v>2.2006000000000001E-2</v>
      </c>
      <c r="E27" s="7">
        <v>3.169</v>
      </c>
      <c r="F27" s="2">
        <v>1.5399999999999999E-3</v>
      </c>
      <c r="G27" s="2" t="s">
        <v>111</v>
      </c>
      <c r="H27" s="2" t="str">
        <f>IF(C27&gt;1, "Y", "N")</f>
        <v>Y</v>
      </c>
    </row>
    <row r="28" spans="1:8" hidden="1">
      <c r="A28" s="2" t="s">
        <v>54</v>
      </c>
      <c r="B28" s="2">
        <v>6.6752500000000006E-2</v>
      </c>
      <c r="C28" s="2">
        <v>1.0690307999999999</v>
      </c>
      <c r="D28" s="1">
        <v>6.6223000000000004E-2</v>
      </c>
      <c r="E28" s="1">
        <v>1.008</v>
      </c>
      <c r="F28" s="2">
        <v>0.31348999999999999</v>
      </c>
    </row>
    <row r="29" spans="1:8">
      <c r="A29" s="2" t="s">
        <v>41</v>
      </c>
      <c r="B29" s="2">
        <v>6.5853999999999996E-2</v>
      </c>
      <c r="C29" s="2">
        <v>1.0680707</v>
      </c>
      <c r="D29" s="1">
        <v>1.6781399999999998E-2</v>
      </c>
      <c r="E29" s="1">
        <v>3.9239999999999999</v>
      </c>
      <c r="F29" s="3">
        <v>8.7899999999999995E-5</v>
      </c>
      <c r="G29" s="2" t="s">
        <v>103</v>
      </c>
      <c r="H29" s="2" t="str">
        <f>IF(C29&gt;1, "Y", "N")</f>
        <v>Y</v>
      </c>
    </row>
    <row r="30" spans="1:8" hidden="1">
      <c r="A30" s="2" t="s">
        <v>62</v>
      </c>
      <c r="B30" s="2">
        <v>6.4411200000000002E-2</v>
      </c>
      <c r="C30" s="2">
        <v>1.0665309000000001</v>
      </c>
      <c r="D30" s="1">
        <v>3.4447999999999999E-2</v>
      </c>
      <c r="E30" s="7">
        <v>1.87</v>
      </c>
      <c r="F30" s="2">
        <v>6.1550000000000001E-2</v>
      </c>
    </row>
    <row r="31" spans="1:8">
      <c r="A31" s="2" t="s">
        <v>53</v>
      </c>
      <c r="B31" s="2">
        <v>5.7674999999999997E-2</v>
      </c>
      <c r="C31" s="2">
        <v>1.0593707000000001</v>
      </c>
      <c r="D31" s="1">
        <v>2.4027400000000001E-2</v>
      </c>
      <c r="E31" s="7">
        <v>2.4</v>
      </c>
      <c r="F31" s="2">
        <v>1.6400000000000001E-2</v>
      </c>
      <c r="G31" s="2" t="s">
        <v>112</v>
      </c>
      <c r="H31" s="2" t="str">
        <f>IF(C31&gt;1, "Y", "N")</f>
        <v>Y</v>
      </c>
    </row>
    <row r="32" spans="1:8">
      <c r="A32" s="2" t="s">
        <v>47</v>
      </c>
      <c r="B32" s="2">
        <v>5.7600600000000002E-2</v>
      </c>
      <c r="C32" s="2">
        <v>1.0592918</v>
      </c>
      <c r="D32" s="1">
        <v>2.3159599999999999E-2</v>
      </c>
      <c r="E32" s="7">
        <v>2.4870000000000001</v>
      </c>
      <c r="F32" s="2">
        <v>1.29E-2</v>
      </c>
      <c r="G32" s="2" t="s">
        <v>112</v>
      </c>
      <c r="H32" s="2" t="str">
        <f>IF(C32&gt;1, "Y", "N")</f>
        <v>Y</v>
      </c>
    </row>
    <row r="33" spans="1:8" hidden="1">
      <c r="A33" s="2" t="s">
        <v>80</v>
      </c>
      <c r="B33" s="2">
        <v>5.1316800000000003E-2</v>
      </c>
      <c r="C33" s="2">
        <v>1.0526563</v>
      </c>
      <c r="D33" s="1">
        <v>3.1836299999999998E-2</v>
      </c>
      <c r="E33" s="1">
        <v>1.6120000000000001</v>
      </c>
      <c r="F33" s="2">
        <v>0.10703</v>
      </c>
    </row>
    <row r="34" spans="1:8" hidden="1">
      <c r="A34" s="2" t="s">
        <v>66</v>
      </c>
      <c r="B34" s="2">
        <v>4.9873000000000001E-2</v>
      </c>
      <c r="C34" s="2">
        <v>1.0511375999999999</v>
      </c>
      <c r="D34" s="1">
        <v>8.35843E-2</v>
      </c>
      <c r="E34" s="1">
        <v>0.59699999999999998</v>
      </c>
      <c r="F34" s="2">
        <v>0.55074000000000001</v>
      </c>
    </row>
    <row r="35" spans="1:8">
      <c r="A35" s="2" t="s">
        <v>60</v>
      </c>
      <c r="B35" s="2">
        <v>4.5199400000000001E-2</v>
      </c>
      <c r="C35" s="2">
        <v>1.0462364</v>
      </c>
      <c r="D35" s="1">
        <v>2.0993299999999999E-2</v>
      </c>
      <c r="E35" s="7">
        <v>2.153</v>
      </c>
      <c r="F35" s="2">
        <v>3.1350000000000003E-2</v>
      </c>
      <c r="G35" s="2" t="s">
        <v>112</v>
      </c>
      <c r="H35" s="2" t="str">
        <f>IF(C35&gt;1, "Y", "N")</f>
        <v>Y</v>
      </c>
    </row>
    <row r="36" spans="1:8" hidden="1">
      <c r="A36" s="2" t="s">
        <v>77</v>
      </c>
      <c r="B36" s="2">
        <v>4.3851300000000003E-2</v>
      </c>
      <c r="C36" s="2">
        <v>1.044827</v>
      </c>
      <c r="D36" s="1">
        <v>5.2614599999999997E-2</v>
      </c>
      <c r="E36" s="1">
        <v>0.83299999999999996</v>
      </c>
      <c r="F36" s="2">
        <v>0.40461999999999998</v>
      </c>
    </row>
    <row r="37" spans="1:8">
      <c r="A37" s="2" t="s">
        <v>46</v>
      </c>
      <c r="B37" s="2">
        <v>4.2785400000000001E-2</v>
      </c>
      <c r="C37" s="2">
        <v>1.0437139</v>
      </c>
      <c r="D37" s="1">
        <v>1.9564499999999999E-2</v>
      </c>
      <c r="E37" s="7">
        <v>2.1869999999999998</v>
      </c>
      <c r="F37" s="2">
        <v>2.878E-2</v>
      </c>
      <c r="G37" s="2" t="s">
        <v>112</v>
      </c>
      <c r="H37" s="2" t="str">
        <f>IF(C37&gt;1, "Y", "N")</f>
        <v>Y</v>
      </c>
    </row>
    <row r="38" spans="1:8" hidden="1">
      <c r="A38" s="2" t="s">
        <v>73</v>
      </c>
      <c r="B38" s="2">
        <v>4.1020899999999999E-2</v>
      </c>
      <c r="C38" s="2">
        <v>1.0418738999999999</v>
      </c>
      <c r="D38" s="1">
        <v>4.7181300000000002E-2</v>
      </c>
      <c r="E38" s="1">
        <v>0.86899999999999999</v>
      </c>
      <c r="F38" s="2">
        <v>0.38463999999999998</v>
      </c>
    </row>
    <row r="39" spans="1:8" hidden="1">
      <c r="A39" s="2" t="s">
        <v>52</v>
      </c>
      <c r="B39" s="2">
        <v>3.95258E-2</v>
      </c>
      <c r="C39" s="2">
        <v>1.0403172999999999</v>
      </c>
      <c r="D39" s="1">
        <v>2.4633800000000001E-2</v>
      </c>
      <c r="E39" s="1">
        <v>1.605</v>
      </c>
      <c r="F39" s="2">
        <v>0.10864</v>
      </c>
    </row>
    <row r="40" spans="1:8">
      <c r="A40" s="2" t="s">
        <v>81</v>
      </c>
      <c r="B40" s="2">
        <v>3.7762299999999999E-2</v>
      </c>
      <c r="C40" s="2">
        <v>1.0384844</v>
      </c>
      <c r="D40" s="1">
        <v>1.69266E-2</v>
      </c>
      <c r="E40" s="7">
        <v>2.2309999999999999</v>
      </c>
      <c r="F40" s="2">
        <v>2.572E-2</v>
      </c>
      <c r="G40" s="2" t="s">
        <v>112</v>
      </c>
      <c r="H40" s="2" t="str">
        <f>IF(C40&gt;1, "Y", "N")</f>
        <v>Y</v>
      </c>
    </row>
    <row r="41" spans="1:8" hidden="1">
      <c r="A41" s="2" t="s">
        <v>71</v>
      </c>
      <c r="B41" s="2">
        <v>3.7145400000000002E-2</v>
      </c>
      <c r="C41" s="2">
        <v>1.0378438999999999</v>
      </c>
      <c r="D41" s="1">
        <v>4.5749699999999997E-2</v>
      </c>
      <c r="E41" s="1">
        <v>0.81200000000000006</v>
      </c>
      <c r="F41" s="2">
        <v>0.41686000000000001</v>
      </c>
    </row>
    <row r="42" spans="1:8" hidden="1">
      <c r="A42" s="2" t="s">
        <v>88</v>
      </c>
      <c r="B42" s="2">
        <v>3.5002100000000001E-2</v>
      </c>
      <c r="C42" s="2">
        <v>1.0356219</v>
      </c>
      <c r="D42" s="1">
        <v>4.6202899999999998E-2</v>
      </c>
      <c r="E42" s="1">
        <v>0.75800000000000001</v>
      </c>
      <c r="F42" s="2">
        <v>0.44873000000000002</v>
      </c>
    </row>
    <row r="43" spans="1:8" hidden="1">
      <c r="A43" s="2" t="s">
        <v>78</v>
      </c>
      <c r="B43" s="2">
        <v>3.2968799999999999E-2</v>
      </c>
      <c r="C43" s="2">
        <v>1.0335182999999999</v>
      </c>
      <c r="D43" s="1">
        <v>2.94361E-2</v>
      </c>
      <c r="E43" s="1">
        <v>1.1200000000000001</v>
      </c>
      <c r="F43" s="2">
        <v>0.26274999999999998</v>
      </c>
    </row>
    <row r="44" spans="1:8" hidden="1">
      <c r="A44" s="2" t="s">
        <v>23</v>
      </c>
      <c r="B44" s="2">
        <v>3.1442100000000001E-2</v>
      </c>
      <c r="C44" s="2">
        <v>1.0319415999999999</v>
      </c>
      <c r="D44" s="1">
        <v>2.00567E-2</v>
      </c>
      <c r="E44" s="1">
        <v>1.5680000000000001</v>
      </c>
      <c r="F44" s="2">
        <v>0.11701</v>
      </c>
    </row>
    <row r="45" spans="1:8" hidden="1">
      <c r="A45" s="2" t="s">
        <v>58</v>
      </c>
      <c r="B45" s="2">
        <v>3.0706399999999998E-2</v>
      </c>
      <c r="C45" s="2">
        <v>1.0311827</v>
      </c>
      <c r="D45" s="1">
        <v>2.48723E-2</v>
      </c>
      <c r="E45" s="1">
        <v>1.2350000000000001</v>
      </c>
      <c r="F45" s="2">
        <v>0.21704000000000001</v>
      </c>
    </row>
    <row r="46" spans="1:8" hidden="1">
      <c r="A46" s="2" t="s">
        <v>45</v>
      </c>
      <c r="B46" s="2">
        <v>3.04444E-2</v>
      </c>
      <c r="C46" s="2">
        <v>1.0309126</v>
      </c>
      <c r="D46" s="1">
        <v>6.94993E-2</v>
      </c>
      <c r="E46" s="1">
        <v>0.438</v>
      </c>
      <c r="F46" s="2">
        <v>0.66135999999999995</v>
      </c>
    </row>
    <row r="47" spans="1:8" hidden="1">
      <c r="A47" s="2" t="s">
        <v>20</v>
      </c>
      <c r="B47" s="2">
        <v>2.6594199999999998E-2</v>
      </c>
      <c r="C47" s="2">
        <v>1.0269509000000001</v>
      </c>
      <c r="D47" s="1">
        <v>2.2701599999999999E-2</v>
      </c>
      <c r="E47" s="1">
        <v>1.171</v>
      </c>
      <c r="F47" s="2">
        <v>0.24145</v>
      </c>
    </row>
    <row r="48" spans="1:8" hidden="1">
      <c r="A48" s="2" t="s">
        <v>59</v>
      </c>
      <c r="B48" s="2">
        <v>2.4588800000000001E-2</v>
      </c>
      <c r="C48" s="2">
        <v>1.0248936</v>
      </c>
      <c r="D48" s="1">
        <v>7.7901899999999996E-2</v>
      </c>
      <c r="E48" s="1">
        <v>0.316</v>
      </c>
      <c r="F48" s="2">
        <v>0.75229000000000001</v>
      </c>
    </row>
    <row r="49" spans="1:8" hidden="1">
      <c r="A49" s="2" t="s">
        <v>21</v>
      </c>
      <c r="B49" s="2">
        <v>2.2784499999999999E-2</v>
      </c>
      <c r="C49" s="2">
        <v>1.0230461</v>
      </c>
      <c r="D49" s="1">
        <v>1.4465E-2</v>
      </c>
      <c r="E49" s="1">
        <v>1.575</v>
      </c>
      <c r="F49" s="2">
        <v>0.11527</v>
      </c>
    </row>
    <row r="50" spans="1:8" hidden="1">
      <c r="A50" s="2" t="s">
        <v>30</v>
      </c>
      <c r="B50" s="2">
        <v>2.0273099999999999E-2</v>
      </c>
      <c r="C50" s="2">
        <v>1.0204800000000001</v>
      </c>
      <c r="D50" s="1">
        <v>1.48825E-2</v>
      </c>
      <c r="E50" s="1">
        <v>1.3620000000000001</v>
      </c>
      <c r="F50" s="2">
        <v>0.17318</v>
      </c>
    </row>
    <row r="51" spans="1:8" hidden="1">
      <c r="A51" s="2" t="s">
        <v>56</v>
      </c>
      <c r="B51" s="2">
        <v>1.7015300000000001E-2</v>
      </c>
      <c r="C51" s="2">
        <v>1.0171608999999999</v>
      </c>
      <c r="D51" s="1">
        <v>3.4271799999999998E-2</v>
      </c>
      <c r="E51" s="1">
        <v>0.496</v>
      </c>
      <c r="F51" s="2">
        <v>0.61956999999999995</v>
      </c>
    </row>
    <row r="52" spans="1:8" hidden="1">
      <c r="A52" s="2" t="s">
        <v>83</v>
      </c>
      <c r="B52" s="2">
        <v>1.6793700000000002E-2</v>
      </c>
      <c r="C52" s="2">
        <v>1.0169355</v>
      </c>
      <c r="D52" s="1">
        <v>2.3733299999999999E-2</v>
      </c>
      <c r="E52" s="1">
        <v>0.70799999999999996</v>
      </c>
      <c r="F52" s="2">
        <v>0.47921999999999998</v>
      </c>
    </row>
    <row r="53" spans="1:8" hidden="1">
      <c r="A53" s="2" t="s">
        <v>86</v>
      </c>
      <c r="B53" s="2">
        <v>5.7603999999999997E-3</v>
      </c>
      <c r="C53" s="2">
        <v>1.0057769999999999</v>
      </c>
      <c r="D53" s="1">
        <v>3.4943299999999997E-2</v>
      </c>
      <c r="E53" s="1">
        <v>0.16500000000000001</v>
      </c>
      <c r="F53" s="2">
        <v>0.86907000000000001</v>
      </c>
    </row>
    <row r="54" spans="1:8" hidden="1">
      <c r="A54" s="2" t="s">
        <v>82</v>
      </c>
      <c r="B54" s="2">
        <v>5.0172999999999997E-3</v>
      </c>
      <c r="C54" s="2">
        <v>1.0050299</v>
      </c>
      <c r="D54" s="1">
        <v>4.9462399999999997E-2</v>
      </c>
      <c r="E54" s="1">
        <v>0.10100000000000001</v>
      </c>
      <c r="F54" s="2">
        <v>0.91920999999999997</v>
      </c>
    </row>
    <row r="55" spans="1:8">
      <c r="A55" s="2" t="s">
        <v>108</v>
      </c>
      <c r="B55" s="2">
        <v>2.532E-3</v>
      </c>
      <c r="C55" s="2">
        <v>1.0025352000000001</v>
      </c>
      <c r="D55" s="1">
        <v>2.1919999999999999E-4</v>
      </c>
      <c r="E55" s="1">
        <v>11.551</v>
      </c>
      <c r="F55" s="2" t="s">
        <v>102</v>
      </c>
      <c r="G55" s="2" t="s">
        <v>103</v>
      </c>
      <c r="H55" s="2" t="str">
        <f>IF(C55&gt;1, "Y", "N")</f>
        <v>Y</v>
      </c>
    </row>
    <row r="56" spans="1:8" hidden="1">
      <c r="A56" s="2" t="s">
        <v>39</v>
      </c>
      <c r="B56" s="2">
        <v>-9.4850000000000002E-4</v>
      </c>
      <c r="C56" s="2">
        <v>0.99905200000000005</v>
      </c>
      <c r="D56" s="1">
        <v>7.3348899999999995E-2</v>
      </c>
      <c r="E56" s="1">
        <v>-1.2999999999999999E-2</v>
      </c>
      <c r="F56" s="2">
        <v>0.98968</v>
      </c>
    </row>
    <row r="57" spans="1:8" hidden="1">
      <c r="A57" s="2" t="s">
        <v>37</v>
      </c>
      <c r="B57" s="2">
        <v>-9.9103000000000004E-3</v>
      </c>
      <c r="C57" s="2">
        <v>0.99013859999999998</v>
      </c>
      <c r="D57" s="1">
        <v>3.3481900000000002E-2</v>
      </c>
      <c r="E57" s="1">
        <v>-0.29599999999999999</v>
      </c>
      <c r="F57" s="2">
        <v>0.76724999999999999</v>
      </c>
    </row>
    <row r="58" spans="1:8" hidden="1">
      <c r="A58" s="2" t="s">
        <v>55</v>
      </c>
      <c r="B58" s="2">
        <v>-1.3932999999999999E-2</v>
      </c>
      <c r="C58" s="2">
        <v>0.98616369999999998</v>
      </c>
      <c r="D58" s="1">
        <v>3.3895300000000003E-2</v>
      </c>
      <c r="E58" s="1">
        <v>-0.41099999999999998</v>
      </c>
      <c r="F58" s="2">
        <v>0.68103999999999998</v>
      </c>
    </row>
    <row r="59" spans="1:8" hidden="1">
      <c r="A59" s="2" t="s">
        <v>63</v>
      </c>
      <c r="B59" s="2">
        <v>-1.39366E-2</v>
      </c>
      <c r="C59" s="2">
        <v>0.98616009999999998</v>
      </c>
      <c r="D59" s="1">
        <v>4.8482999999999998E-2</v>
      </c>
      <c r="E59" s="1">
        <v>-0.28699999999999998</v>
      </c>
      <c r="F59" s="2">
        <v>0.77376999999999996</v>
      </c>
    </row>
    <row r="60" spans="1:8" hidden="1">
      <c r="A60" s="2" t="s">
        <v>44</v>
      </c>
      <c r="B60" s="2">
        <v>-2.37284E-2</v>
      </c>
      <c r="C60" s="2">
        <v>0.9765509</v>
      </c>
      <c r="D60" s="1">
        <v>6.2050300000000003E-2</v>
      </c>
      <c r="E60" s="1">
        <v>-0.38200000000000001</v>
      </c>
      <c r="F60" s="2">
        <v>0.70216999999999996</v>
      </c>
    </row>
    <row r="61" spans="1:8" hidden="1">
      <c r="A61" s="2" t="s">
        <v>29</v>
      </c>
      <c r="B61" s="2">
        <v>-2.4809100000000001E-2</v>
      </c>
      <c r="C61" s="2">
        <v>0.97549609999999998</v>
      </c>
      <c r="D61" s="1">
        <v>1.30919E-2</v>
      </c>
      <c r="E61" s="1">
        <v>-1.895</v>
      </c>
      <c r="F61" s="2">
        <v>5.8130000000000001E-2</v>
      </c>
    </row>
    <row r="62" spans="1:8" hidden="1">
      <c r="A62" s="2" t="s">
        <v>69</v>
      </c>
      <c r="B62" s="2">
        <v>-2.7679200000000001E-2</v>
      </c>
      <c r="C62" s="2">
        <v>0.97270029999999996</v>
      </c>
      <c r="D62" s="1">
        <v>2.1435800000000001E-2</v>
      </c>
      <c r="E62" s="1">
        <v>-1.2909999999999999</v>
      </c>
      <c r="F62" s="2">
        <v>0.19666</v>
      </c>
    </row>
    <row r="63" spans="1:8" hidden="1">
      <c r="A63" s="2" t="s">
        <v>79</v>
      </c>
      <c r="B63" s="2">
        <v>-3.3026899999999998E-2</v>
      </c>
      <c r="C63" s="2">
        <v>0.9675125</v>
      </c>
      <c r="D63" s="1">
        <v>0.1132597</v>
      </c>
      <c r="E63" s="1">
        <v>-0.29199999999999998</v>
      </c>
      <c r="F63" s="2">
        <v>0.77059999999999995</v>
      </c>
    </row>
    <row r="64" spans="1:8" hidden="1">
      <c r="A64" s="2" t="s">
        <v>70</v>
      </c>
      <c r="B64" s="2">
        <v>-4.5310099999999999E-2</v>
      </c>
      <c r="C64" s="2">
        <v>0.95570109999999997</v>
      </c>
      <c r="D64" s="1">
        <v>0.11329939999999999</v>
      </c>
      <c r="E64" s="1">
        <v>-0.4</v>
      </c>
      <c r="F64" s="2">
        <v>0.68923000000000001</v>
      </c>
    </row>
    <row r="65" spans="1:8" hidden="1">
      <c r="A65" s="2" t="s">
        <v>48</v>
      </c>
      <c r="B65" s="2">
        <v>-5.0303E-2</v>
      </c>
      <c r="C65" s="2">
        <v>0.95094120000000004</v>
      </c>
      <c r="D65" s="1">
        <v>0.29778759999999999</v>
      </c>
      <c r="E65" s="1">
        <v>-0.16900000000000001</v>
      </c>
      <c r="F65" s="2">
        <v>0.86585999999999996</v>
      </c>
    </row>
    <row r="66" spans="1:8" hidden="1">
      <c r="A66" s="2" t="s">
        <v>35</v>
      </c>
      <c r="B66" s="2">
        <v>-6.2907299999999999E-2</v>
      </c>
      <c r="C66" s="2">
        <v>0.93903049999999999</v>
      </c>
      <c r="D66" s="1">
        <v>0.29765130000000001</v>
      </c>
      <c r="E66" s="1">
        <v>-0.21099999999999999</v>
      </c>
      <c r="F66" s="2">
        <v>0.83262000000000003</v>
      </c>
    </row>
    <row r="67" spans="1:8" hidden="1">
      <c r="A67" s="2" t="s">
        <v>64</v>
      </c>
      <c r="B67" s="2">
        <v>-0.105419</v>
      </c>
      <c r="C67" s="2">
        <v>0.89994739999999995</v>
      </c>
      <c r="D67" s="1">
        <v>0.1059556</v>
      </c>
      <c r="E67" s="1">
        <v>-0.995</v>
      </c>
      <c r="F67" s="2">
        <v>0.31979999999999997</v>
      </c>
    </row>
    <row r="68" spans="1:8" hidden="1">
      <c r="A68" s="2" t="s">
        <v>76</v>
      </c>
      <c r="B68" s="2">
        <v>-0.18784120000000001</v>
      </c>
      <c r="C68" s="2">
        <v>0.82874630000000005</v>
      </c>
      <c r="D68" s="1">
        <v>0.13376779999999999</v>
      </c>
      <c r="E68" s="1">
        <v>-1.4039999999999999</v>
      </c>
      <c r="F68" s="2">
        <v>0.16028999999999999</v>
      </c>
    </row>
    <row r="69" spans="1:8">
      <c r="A69" s="2" t="s">
        <v>109</v>
      </c>
      <c r="B69" s="2">
        <v>-0.3062549</v>
      </c>
      <c r="C69" s="2">
        <v>0.73619889999999999</v>
      </c>
      <c r="D69" s="1">
        <v>1.07685E-2</v>
      </c>
      <c r="E69" s="1">
        <v>-28.44</v>
      </c>
      <c r="F69" s="2" t="s">
        <v>102</v>
      </c>
      <c r="G69" s="2" t="s">
        <v>103</v>
      </c>
      <c r="H69" s="2" t="str">
        <f>IF(C69&gt;1, "Y", "N")</f>
        <v>N</v>
      </c>
    </row>
  </sheetData>
  <autoFilter ref="A1:H69" xr:uid="{2434E287-2BD6-CC4B-A527-9570EBAD7AAB}">
    <filterColumn colId="6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ACD5-321F-EA47-BF85-9FE97E065164}">
  <dimension ref="A1:H67"/>
  <sheetViews>
    <sheetView workbookViewId="0">
      <selection sqref="A1:A1048576"/>
    </sheetView>
  </sheetViews>
  <sheetFormatPr baseColWidth="10" defaultRowHeight="14"/>
  <cols>
    <col min="1" max="1" width="40" style="2" customWidth="1"/>
    <col min="2" max="2" width="11" style="2" bestFit="1" customWidth="1"/>
    <col min="3" max="3" width="14.5" style="2" customWidth="1"/>
    <col min="4" max="5" width="11" style="2" bestFit="1" customWidth="1"/>
    <col min="6" max="6" width="11.33203125" style="2" bestFit="1" customWidth="1"/>
    <col min="7" max="7" width="16.33203125" style="2" customWidth="1"/>
    <col min="8" max="16384" width="10.83203125" style="2"/>
  </cols>
  <sheetData>
    <row r="1" spans="1:8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  <c r="H1" s="8" t="s">
        <v>133</v>
      </c>
    </row>
    <row r="2" spans="1:8" s="4" customFormat="1" ht="16">
      <c r="A2" s="4" t="s">
        <v>107</v>
      </c>
      <c r="B2" s="4">
        <v>1.0925678999999999</v>
      </c>
      <c r="C2" s="4">
        <v>2.9819214000000001</v>
      </c>
      <c r="D2" s="4">
        <v>3.3061300000000002E-2</v>
      </c>
      <c r="E2" s="4">
        <v>33.046999999999997</v>
      </c>
      <c r="F2" s="4" t="s">
        <v>102</v>
      </c>
      <c r="G2" s="4" t="s">
        <v>103</v>
      </c>
      <c r="H2" s="4" t="str">
        <f>IF(C2&gt;1, "Y", "N")</f>
        <v>Y</v>
      </c>
    </row>
    <row r="3" spans="1:8" s="4" customFormat="1" ht="16">
      <c r="A3" s="4" t="s">
        <v>108</v>
      </c>
      <c r="B3" s="4">
        <v>1.008E-4</v>
      </c>
      <c r="C3" s="4">
        <v>1.0001008</v>
      </c>
      <c r="D3" s="4">
        <v>3.3490000000000001E-4</v>
      </c>
      <c r="E3" s="4">
        <v>0.30099999999999999</v>
      </c>
      <c r="F3" s="4">
        <v>0.76344000000000001</v>
      </c>
    </row>
    <row r="4" spans="1:8" s="4" customFormat="1" ht="16">
      <c r="A4" s="4" t="s">
        <v>18</v>
      </c>
      <c r="B4" s="4">
        <v>0.26756760000000002</v>
      </c>
      <c r="C4" s="4">
        <v>1.3067820000000001</v>
      </c>
      <c r="D4" s="4">
        <v>3.8789700000000003E-2</v>
      </c>
      <c r="E4" s="4">
        <v>6.8979999999999997</v>
      </c>
      <c r="F4" s="5">
        <v>6.6000000000000001E-12</v>
      </c>
      <c r="G4" s="4" t="s">
        <v>103</v>
      </c>
      <c r="H4" s="4" t="str">
        <f t="shared" ref="H4:H6" si="0">IF(C4&gt;1, "Y", "N")</f>
        <v>Y</v>
      </c>
    </row>
    <row r="5" spans="1:8" ht="16">
      <c r="A5" s="4" t="s">
        <v>19</v>
      </c>
      <c r="B5" s="2">
        <v>-9.4360399999999997E-2</v>
      </c>
      <c r="C5" s="2">
        <v>0.90995470000000001</v>
      </c>
      <c r="D5" s="2">
        <v>3.6661699999999998E-2</v>
      </c>
      <c r="E5" s="6">
        <v>-2.5739999999999998</v>
      </c>
      <c r="F5" s="2">
        <v>1.0113E-2</v>
      </c>
      <c r="G5" s="2" t="s">
        <v>112</v>
      </c>
      <c r="H5" s="4" t="str">
        <f t="shared" si="0"/>
        <v>N</v>
      </c>
    </row>
    <row r="6" spans="1:8" s="4" customFormat="1" ht="16">
      <c r="A6" s="4" t="s">
        <v>20</v>
      </c>
      <c r="B6" s="4">
        <v>0.1297973</v>
      </c>
      <c r="C6" s="4">
        <v>1.1385976</v>
      </c>
      <c r="D6" s="4">
        <v>2.54161E-2</v>
      </c>
      <c r="E6" s="4">
        <v>5.1070000000000002</v>
      </c>
      <c r="F6" s="5">
        <v>3.5100000000000001E-7</v>
      </c>
      <c r="G6" s="4" t="s">
        <v>103</v>
      </c>
      <c r="H6" s="4" t="str">
        <f t="shared" si="0"/>
        <v>Y</v>
      </c>
    </row>
    <row r="7" spans="1:8" s="4" customFormat="1" ht="16">
      <c r="A7" s="4" t="s">
        <v>21</v>
      </c>
      <c r="B7" s="4">
        <v>9.5537E-3</v>
      </c>
      <c r="C7" s="4">
        <v>1.0095995</v>
      </c>
      <c r="D7" s="4">
        <v>2.2875099999999999E-2</v>
      </c>
      <c r="E7" s="4">
        <v>0.41799999999999998</v>
      </c>
      <c r="F7" s="4">
        <v>0.67623999999999995</v>
      </c>
    </row>
    <row r="8" spans="1:8" s="4" customFormat="1" ht="16">
      <c r="A8" s="4" t="s">
        <v>23</v>
      </c>
      <c r="B8" s="4">
        <v>2.7321600000000001E-2</v>
      </c>
      <c r="C8" s="4">
        <v>1.0276983</v>
      </c>
      <c r="D8" s="4">
        <v>2.9132600000000002E-2</v>
      </c>
      <c r="E8" s="4">
        <v>0.93799999999999994</v>
      </c>
    </row>
    <row r="9" spans="1:8" s="4" customFormat="1" ht="16">
      <c r="A9" s="4" t="s">
        <v>24</v>
      </c>
      <c r="B9" s="4">
        <v>4.8902500000000002E-2</v>
      </c>
      <c r="C9" s="4">
        <v>1.0501179</v>
      </c>
      <c r="D9" s="4">
        <v>4.41374E-2</v>
      </c>
      <c r="E9" s="4">
        <v>1.1080000000000001</v>
      </c>
      <c r="F9" s="4">
        <v>0.26798100000000002</v>
      </c>
    </row>
    <row r="10" spans="1:8" s="4" customFormat="1" ht="16">
      <c r="A10" s="4" t="s">
        <v>27</v>
      </c>
      <c r="B10" s="4">
        <v>0.18906229999999999</v>
      </c>
      <c r="C10" s="4">
        <v>1.2081162000000001</v>
      </c>
      <c r="D10" s="4">
        <v>4.8770500000000001E-2</v>
      </c>
      <c r="E10" s="4">
        <v>3.8769999999999998</v>
      </c>
      <c r="F10" s="4">
        <v>1.0900000000000001E-4</v>
      </c>
      <c r="G10" s="4" t="s">
        <v>103</v>
      </c>
      <c r="H10" s="4" t="str">
        <f t="shared" ref="H10:H13" si="1">IF(C10&gt;1, "Y", "N")</f>
        <v>Y</v>
      </c>
    </row>
    <row r="11" spans="1:8" ht="16">
      <c r="A11" s="4" t="s">
        <v>29</v>
      </c>
      <c r="B11" s="2">
        <v>-7.1193199999999998E-2</v>
      </c>
      <c r="C11" s="2">
        <v>0.9312819</v>
      </c>
      <c r="D11" s="2">
        <v>3.16875E-2</v>
      </c>
      <c r="E11" s="6">
        <v>-2.2469999999999999</v>
      </c>
      <c r="F11" s="2">
        <v>2.4740999999999999E-2</v>
      </c>
      <c r="G11" s="2" t="s">
        <v>112</v>
      </c>
      <c r="H11" s="4" t="str">
        <f t="shared" si="1"/>
        <v>N</v>
      </c>
    </row>
    <row r="12" spans="1:8" ht="16">
      <c r="A12" s="4" t="s">
        <v>30</v>
      </c>
      <c r="B12" s="2">
        <v>5.7412199999999997E-2</v>
      </c>
      <c r="C12" s="2">
        <v>1.0590922</v>
      </c>
      <c r="D12" s="2">
        <v>2.2355099999999999E-2</v>
      </c>
      <c r="E12" s="6">
        <v>2.5680000000000001</v>
      </c>
      <c r="F12" s="2">
        <v>1.0278000000000001E-2</v>
      </c>
      <c r="G12" s="2" t="s">
        <v>112</v>
      </c>
      <c r="H12" s="4" t="str">
        <f t="shared" si="1"/>
        <v>Y</v>
      </c>
    </row>
    <row r="13" spans="1:8" ht="16">
      <c r="A13" s="4" t="s">
        <v>31</v>
      </c>
      <c r="B13" s="2">
        <v>8.5507200000000005E-2</v>
      </c>
      <c r="C13" s="2">
        <v>1.0892694000000001</v>
      </c>
      <c r="D13" s="2">
        <v>3.7608000000000003E-2</v>
      </c>
      <c r="E13" s="6">
        <v>2.274</v>
      </c>
      <c r="F13" s="2">
        <v>2.3068999999999999E-2</v>
      </c>
      <c r="G13" s="2" t="s">
        <v>112</v>
      </c>
      <c r="H13" s="4" t="str">
        <f t="shared" si="1"/>
        <v>Y</v>
      </c>
    </row>
    <row r="14" spans="1:8" s="4" customFormat="1" ht="16">
      <c r="A14" s="4" t="s">
        <v>32</v>
      </c>
      <c r="B14" s="4">
        <v>2.6127999999999998E-2</v>
      </c>
      <c r="C14" s="4">
        <v>1.0264723</v>
      </c>
      <c r="D14" s="4">
        <v>3.9688800000000003E-2</v>
      </c>
      <c r="E14" s="4">
        <v>0.65800000000000003</v>
      </c>
      <c r="F14" s="4">
        <v>0.51039000000000001</v>
      </c>
    </row>
    <row r="15" spans="1:8" s="4" customFormat="1" ht="16">
      <c r="A15" s="4" t="s">
        <v>34</v>
      </c>
      <c r="B15" s="4">
        <v>-0.33484229999999998</v>
      </c>
      <c r="C15" s="4">
        <v>0.7154509</v>
      </c>
      <c r="D15" s="4">
        <v>4.07502E-2</v>
      </c>
      <c r="E15" s="4">
        <v>-8.2170000000000005</v>
      </c>
      <c r="F15" s="5">
        <v>3.2500000000000001E-16</v>
      </c>
      <c r="G15" s="4" t="s">
        <v>103</v>
      </c>
      <c r="H15" s="4" t="str">
        <f t="shared" ref="H15:H16" si="2">IF(C15&gt;1, "Y", "N")</f>
        <v>N</v>
      </c>
    </row>
    <row r="16" spans="1:8" ht="16">
      <c r="A16" s="4" t="s">
        <v>37</v>
      </c>
      <c r="B16" s="2">
        <v>-0.15701660000000001</v>
      </c>
      <c r="C16" s="2">
        <v>0.8546899</v>
      </c>
      <c r="D16" s="2">
        <v>7.4454099999999995E-2</v>
      </c>
      <c r="E16" s="6">
        <v>-2.109</v>
      </c>
      <c r="F16" s="2">
        <v>3.5048000000000003E-2</v>
      </c>
      <c r="G16" s="2" t="s">
        <v>112</v>
      </c>
      <c r="H16" s="4" t="str">
        <f t="shared" si="2"/>
        <v>N</v>
      </c>
    </row>
    <row r="17" spans="1:8" s="4" customFormat="1" ht="16">
      <c r="A17" s="4" t="s">
        <v>39</v>
      </c>
      <c r="B17" s="4">
        <v>-2.2351099999999999E-2</v>
      </c>
      <c r="C17" s="4">
        <v>0.97789689999999996</v>
      </c>
      <c r="D17" s="4">
        <v>9.3451199999999998E-2</v>
      </c>
      <c r="E17" s="4">
        <v>-0.23899999999999999</v>
      </c>
      <c r="F17" s="4">
        <v>0.81098999999999999</v>
      </c>
    </row>
    <row r="18" spans="1:8" s="4" customFormat="1" ht="16">
      <c r="A18" s="4" t="s">
        <v>40</v>
      </c>
      <c r="B18" s="4">
        <v>-2.38972E-2</v>
      </c>
      <c r="C18" s="4">
        <v>0.97638610000000003</v>
      </c>
      <c r="D18" s="4">
        <v>5.3237E-2</v>
      </c>
      <c r="E18" s="4">
        <v>-0.44900000000000001</v>
      </c>
      <c r="F18" s="4">
        <v>0.65355300000000005</v>
      </c>
    </row>
    <row r="19" spans="1:8" s="4" customFormat="1" ht="16">
      <c r="A19" s="4" t="s">
        <v>41</v>
      </c>
      <c r="B19" s="4">
        <v>3.56724E-2</v>
      </c>
      <c r="C19" s="4">
        <v>1.0363163</v>
      </c>
      <c r="D19" s="4">
        <v>3.0109199999999999E-2</v>
      </c>
      <c r="E19" s="4">
        <v>1.1850000000000001</v>
      </c>
      <c r="F19" s="4">
        <v>0.23621700000000001</v>
      </c>
    </row>
    <row r="20" spans="1:8" s="4" customFormat="1" ht="16">
      <c r="A20" s="4" t="s">
        <v>42</v>
      </c>
      <c r="B20" s="4">
        <v>1.8216099999999999E-2</v>
      </c>
      <c r="C20" s="4">
        <v>1.0183831000000001</v>
      </c>
      <c r="D20" s="4">
        <v>0.12923870000000001</v>
      </c>
      <c r="E20" s="4">
        <v>0.14099999999999999</v>
      </c>
      <c r="F20" s="4">
        <v>0.88792099999999996</v>
      </c>
    </row>
    <row r="21" spans="1:8" s="4" customFormat="1" ht="16">
      <c r="A21" s="4" t="s">
        <v>43</v>
      </c>
      <c r="B21" s="4">
        <v>-8.4463999999999997E-3</v>
      </c>
      <c r="C21" s="4">
        <v>0.9915891</v>
      </c>
      <c r="D21" s="4">
        <v>5.4510099999999999E-2</v>
      </c>
      <c r="E21" s="4">
        <v>-0.155</v>
      </c>
      <c r="F21" s="4">
        <v>0.87687099999999996</v>
      </c>
    </row>
    <row r="22" spans="1:8" s="4" customFormat="1" ht="16">
      <c r="A22" s="4" t="s">
        <v>44</v>
      </c>
      <c r="B22" s="4">
        <v>-0.20833209999999999</v>
      </c>
      <c r="C22" s="4">
        <v>0.81193740000000003</v>
      </c>
      <c r="D22" s="4">
        <v>0.1698288</v>
      </c>
      <c r="E22" s="4">
        <v>-1.2270000000000001</v>
      </c>
      <c r="F22" s="4">
        <v>0.22003900000000001</v>
      </c>
    </row>
    <row r="23" spans="1:8" s="4" customFormat="1" ht="16">
      <c r="A23" s="4" t="s">
        <v>45</v>
      </c>
      <c r="B23" s="4">
        <v>-6.3807799999999998E-2</v>
      </c>
      <c r="C23" s="4">
        <v>0.9381853</v>
      </c>
      <c r="D23" s="4">
        <v>0.12976579999999999</v>
      </c>
      <c r="E23" s="4">
        <v>-0.49199999999999999</v>
      </c>
      <c r="F23" s="4">
        <v>0.62296200000000002</v>
      </c>
    </row>
    <row r="24" spans="1:8" ht="16">
      <c r="A24" s="4" t="s">
        <v>46</v>
      </c>
      <c r="B24" s="2">
        <v>-7.9707399999999998E-2</v>
      </c>
      <c r="C24" s="2">
        <v>0.9233865</v>
      </c>
      <c r="D24" s="2">
        <v>3.6792199999999997E-2</v>
      </c>
      <c r="E24" s="6">
        <v>-2.1659999999999999</v>
      </c>
      <c r="F24" s="2">
        <v>3.0369E-2</v>
      </c>
      <c r="G24" s="2" t="s">
        <v>112</v>
      </c>
      <c r="H24" s="4" t="str">
        <f>IF(C24&gt;1, "Y", "N")</f>
        <v>N</v>
      </c>
    </row>
    <row r="25" spans="1:8" s="4" customFormat="1" ht="16">
      <c r="A25" s="4" t="s">
        <v>47</v>
      </c>
      <c r="B25" s="4">
        <v>-7.0947200000000002E-2</v>
      </c>
      <c r="C25" s="4">
        <v>0.93151099999999998</v>
      </c>
      <c r="D25" s="4">
        <v>4.3359700000000001E-2</v>
      </c>
      <c r="E25" s="4">
        <v>-1.6359999999999999</v>
      </c>
      <c r="F25" s="4">
        <v>0.101908</v>
      </c>
    </row>
    <row r="26" spans="1:8" s="4" customFormat="1" ht="16">
      <c r="A26" s="4" t="s">
        <v>49</v>
      </c>
      <c r="B26" s="4">
        <v>1.45998E-2</v>
      </c>
      <c r="C26" s="4">
        <v>1.0147069</v>
      </c>
      <c r="D26" s="4">
        <v>9.3563999999999994E-2</v>
      </c>
      <c r="E26" s="4">
        <v>0.156</v>
      </c>
      <c r="F26" s="4">
        <v>0.87601300000000004</v>
      </c>
    </row>
    <row r="27" spans="1:8" s="4" customFormat="1" ht="16">
      <c r="A27" s="4" t="s">
        <v>50</v>
      </c>
      <c r="B27" s="4">
        <v>-0.117282</v>
      </c>
      <c r="C27" s="4">
        <v>0.88933430000000002</v>
      </c>
      <c r="D27" s="4">
        <v>9.3357899999999994E-2</v>
      </c>
      <c r="E27" s="4">
        <v>-1.256</v>
      </c>
      <c r="F27" s="4">
        <v>0.20913300000000001</v>
      </c>
    </row>
    <row r="28" spans="1:8" s="4" customFormat="1" ht="16">
      <c r="A28" s="4" t="s">
        <v>51</v>
      </c>
      <c r="B28" s="4">
        <v>-3.6104499999999998E-2</v>
      </c>
      <c r="C28" s="4">
        <v>0.96453940000000005</v>
      </c>
      <c r="D28" s="4">
        <v>0.1045893</v>
      </c>
      <c r="E28" s="4">
        <v>-0.34499999999999997</v>
      </c>
      <c r="F28" s="4">
        <v>0.72997000000000001</v>
      </c>
    </row>
    <row r="29" spans="1:8" s="4" customFormat="1" ht="16">
      <c r="A29" s="4" t="s">
        <v>52</v>
      </c>
      <c r="B29" s="4">
        <v>-4.99297E-2</v>
      </c>
      <c r="C29" s="4">
        <v>0.95129629999999998</v>
      </c>
      <c r="D29" s="4">
        <v>4.6531900000000001E-2</v>
      </c>
      <c r="E29" s="4">
        <v>-1.073</v>
      </c>
      <c r="F29" s="4">
        <v>0.28336</v>
      </c>
    </row>
    <row r="30" spans="1:8" s="4" customFormat="1" ht="16">
      <c r="A30" s="4" t="s">
        <v>53</v>
      </c>
      <c r="B30" s="4">
        <v>4.8111999999999999E-3</v>
      </c>
      <c r="C30" s="4">
        <v>1.0048227999999999</v>
      </c>
      <c r="D30" s="4">
        <v>3.9579700000000002E-2</v>
      </c>
      <c r="E30" s="4">
        <v>0.122</v>
      </c>
      <c r="F30" s="4">
        <v>0.90325999999999995</v>
      </c>
    </row>
    <row r="31" spans="1:8" s="4" customFormat="1" ht="16">
      <c r="A31" s="4" t="s">
        <v>54</v>
      </c>
      <c r="B31" s="4">
        <v>-8.7955500000000006E-2</v>
      </c>
      <c r="C31" s="4">
        <v>0.91580159999999999</v>
      </c>
      <c r="D31" s="4">
        <v>7.9234200000000005E-2</v>
      </c>
      <c r="E31" s="4">
        <v>-1.1100000000000001</v>
      </c>
      <c r="F31" s="4">
        <v>0.26707199999999998</v>
      </c>
    </row>
    <row r="32" spans="1:8" s="4" customFormat="1" ht="16">
      <c r="A32" s="4" t="s">
        <v>55</v>
      </c>
      <c r="B32" s="4">
        <v>-8.7826699999999994E-2</v>
      </c>
      <c r="C32" s="4">
        <v>0.91591959999999994</v>
      </c>
      <c r="D32" s="4">
        <v>7.1633299999999997E-2</v>
      </c>
      <c r="E32" s="4">
        <v>-1.226</v>
      </c>
      <c r="F32" s="4">
        <v>0.22028700000000001</v>
      </c>
    </row>
    <row r="33" spans="1:8" s="4" customFormat="1" ht="16">
      <c r="A33" s="4" t="s">
        <v>56</v>
      </c>
      <c r="B33" s="4">
        <v>-2.5040699999999999E-2</v>
      </c>
      <c r="C33" s="4">
        <v>0.97527019999999998</v>
      </c>
      <c r="D33" s="4">
        <v>8.5176699999999994E-2</v>
      </c>
      <c r="E33" s="4">
        <v>-0.29399999999999998</v>
      </c>
      <c r="F33" s="4">
        <v>0.76879200000000003</v>
      </c>
    </row>
    <row r="34" spans="1:8" s="4" customFormat="1" ht="16">
      <c r="A34" s="4" t="s">
        <v>57</v>
      </c>
      <c r="B34" s="4">
        <v>-2.9467E-3</v>
      </c>
      <c r="C34" s="4">
        <v>0.99705770000000005</v>
      </c>
      <c r="D34" s="4">
        <v>4.16406E-2</v>
      </c>
      <c r="E34" s="4">
        <v>-7.0999999999999994E-2</v>
      </c>
      <c r="F34" s="4">
        <v>0.94359099999999996</v>
      </c>
    </row>
    <row r="35" spans="1:8" s="4" customFormat="1" ht="16">
      <c r="A35" s="4" t="s">
        <v>58</v>
      </c>
      <c r="B35" s="4">
        <v>-5.8612999999999998E-2</v>
      </c>
      <c r="C35" s="4">
        <v>0.94307160000000001</v>
      </c>
      <c r="D35" s="4">
        <v>5.12723E-2</v>
      </c>
      <c r="E35" s="4">
        <v>-1.143</v>
      </c>
      <c r="F35" s="4">
        <v>0.25307200000000002</v>
      </c>
    </row>
    <row r="36" spans="1:8" s="4" customFormat="1" ht="16">
      <c r="A36" s="4" t="s">
        <v>59</v>
      </c>
      <c r="B36" s="4">
        <v>2.88191E-2</v>
      </c>
      <c r="C36" s="4">
        <v>1.0292384000000001</v>
      </c>
      <c r="D36" s="4">
        <v>0.10911</v>
      </c>
      <c r="E36" s="4">
        <v>0.26400000000000001</v>
      </c>
      <c r="F36" s="4">
        <v>0.79170200000000002</v>
      </c>
    </row>
    <row r="37" spans="1:8" s="4" customFormat="1" ht="16">
      <c r="A37" s="4" t="s">
        <v>60</v>
      </c>
      <c r="B37" s="4">
        <v>-4.7789600000000002E-2</v>
      </c>
      <c r="C37" s="4">
        <v>0.95333429999999997</v>
      </c>
      <c r="D37" s="4">
        <v>3.7142599999999998E-2</v>
      </c>
      <c r="E37" s="4">
        <v>-1.2869999999999999</v>
      </c>
      <c r="F37" s="4">
        <v>0.19832900000000001</v>
      </c>
    </row>
    <row r="38" spans="1:8" s="4" customFormat="1" ht="16">
      <c r="A38" s="4" t="s">
        <v>61</v>
      </c>
      <c r="B38" s="4">
        <v>1.0397200000000001E-2</v>
      </c>
      <c r="C38" s="4">
        <v>1.0104514</v>
      </c>
      <c r="D38" s="4">
        <v>5.8173000000000002E-2</v>
      </c>
      <c r="E38" s="4">
        <v>0.17899999999999999</v>
      </c>
      <c r="F38" s="4">
        <v>0.85816400000000004</v>
      </c>
    </row>
    <row r="39" spans="1:8" s="4" customFormat="1" ht="16">
      <c r="A39" s="4" t="s">
        <v>62</v>
      </c>
      <c r="B39" s="4">
        <v>-7.4287300000000001E-2</v>
      </c>
      <c r="C39" s="4">
        <v>0.92840489999999998</v>
      </c>
      <c r="D39" s="4">
        <v>5.7652299999999997E-2</v>
      </c>
      <c r="E39" s="4">
        <v>-1.2889999999999999</v>
      </c>
      <c r="F39" s="4">
        <v>0.19767199999999999</v>
      </c>
    </row>
    <row r="40" spans="1:8" ht="16">
      <c r="A40" s="61" t="s">
        <v>63</v>
      </c>
      <c r="B40" s="2">
        <v>-0.32190010000000002</v>
      </c>
      <c r="C40" s="2">
        <v>0.72477060000000004</v>
      </c>
      <c r="D40" s="2">
        <v>0.15229039999999999</v>
      </c>
      <c r="E40" s="6">
        <v>-2.1139999999999999</v>
      </c>
      <c r="F40" s="2">
        <v>3.4633999999999998E-2</v>
      </c>
      <c r="G40" s="2" t="s">
        <v>112</v>
      </c>
      <c r="H40" s="4" t="str">
        <f>IF(C40&gt;1, "Y", "N")</f>
        <v>N</v>
      </c>
    </row>
    <row r="41" spans="1:8" s="4" customFormat="1" ht="16">
      <c r="A41" s="4" t="s">
        <v>64</v>
      </c>
      <c r="B41" s="4">
        <v>-5.5620900000000001E-2</v>
      </c>
      <c r="C41" s="4">
        <v>0.94589760000000001</v>
      </c>
      <c r="D41" s="4">
        <v>0.13924210000000001</v>
      </c>
      <c r="E41" s="4">
        <v>-0.39900000000000002</v>
      </c>
      <c r="F41" s="4">
        <v>0.68959099999999995</v>
      </c>
    </row>
    <row r="42" spans="1:8" s="4" customFormat="1" ht="16">
      <c r="A42" s="4" t="s">
        <v>65</v>
      </c>
      <c r="B42" s="4">
        <v>1.6855999999999999E-2</v>
      </c>
      <c r="C42" s="4">
        <v>1.0169988999999999</v>
      </c>
      <c r="D42" s="4">
        <v>4.3326000000000003E-2</v>
      </c>
      <c r="E42" s="4">
        <v>0.38900000000000001</v>
      </c>
      <c r="F42" s="4">
        <v>0.69727099999999997</v>
      </c>
    </row>
    <row r="43" spans="1:8" ht="16">
      <c r="A43" s="61" t="s">
        <v>66</v>
      </c>
      <c r="B43" s="2">
        <v>-0.25245050000000002</v>
      </c>
      <c r="C43" s="2">
        <v>0.77689470000000005</v>
      </c>
      <c r="D43" s="2">
        <v>0.1212743</v>
      </c>
      <c r="E43" s="6">
        <v>-2.0819999999999999</v>
      </c>
      <c r="F43" s="2">
        <v>3.7471999999999998E-2</v>
      </c>
      <c r="G43" s="2" t="s">
        <v>112</v>
      </c>
      <c r="H43" s="4" t="str">
        <f>IF(C43&gt;1, "Y", "N")</f>
        <v>N</v>
      </c>
    </row>
    <row r="44" spans="1:8" s="4" customFormat="1" ht="16">
      <c r="A44" s="4" t="s">
        <v>67</v>
      </c>
      <c r="B44" s="4">
        <v>-7.4097800000000005E-2</v>
      </c>
      <c r="C44" s="4">
        <v>0.92858090000000004</v>
      </c>
      <c r="D44" s="4">
        <v>0.1002233</v>
      </c>
      <c r="E44" s="4">
        <v>-0.73899999999999999</v>
      </c>
      <c r="F44" s="4">
        <v>0.45977499999999999</v>
      </c>
    </row>
    <row r="45" spans="1:8" s="4" customFormat="1" ht="16">
      <c r="A45" s="4" t="s">
        <v>68</v>
      </c>
      <c r="B45" s="4">
        <v>0.19850290000000001</v>
      </c>
      <c r="C45" s="4">
        <v>1.2195754999999999</v>
      </c>
      <c r="D45" s="4">
        <v>0.12929160000000001</v>
      </c>
      <c r="E45" s="4">
        <v>1.5349999999999999</v>
      </c>
      <c r="F45" s="4">
        <v>0.124829</v>
      </c>
    </row>
    <row r="46" spans="1:8" s="4" customFormat="1" ht="16">
      <c r="A46" s="4" t="s">
        <v>69</v>
      </c>
      <c r="B46" s="4">
        <v>-8.0131000000000004E-3</v>
      </c>
      <c r="C46" s="4">
        <v>0.99201899999999998</v>
      </c>
      <c r="D46" s="4">
        <v>4.9994299999999998E-2</v>
      </c>
      <c r="E46" s="4">
        <v>-0.16</v>
      </c>
      <c r="F46" s="4">
        <v>0.87267300000000003</v>
      </c>
    </row>
    <row r="47" spans="1:8" s="4" customFormat="1" ht="16">
      <c r="A47" s="4" t="s">
        <v>70</v>
      </c>
      <c r="B47" s="4">
        <v>0.26952880000000001</v>
      </c>
      <c r="C47" s="4">
        <v>1.3093473</v>
      </c>
      <c r="D47" s="4">
        <v>0.13982820000000001</v>
      </c>
      <c r="E47" s="4">
        <v>1.9279999999999999</v>
      </c>
      <c r="F47" s="4">
        <v>5.4017000000000003E-2</v>
      </c>
    </row>
    <row r="48" spans="1:8" s="4" customFormat="1" ht="16">
      <c r="A48" s="4" t="s">
        <v>71</v>
      </c>
      <c r="B48" s="4">
        <v>1.8070599999999999E-2</v>
      </c>
      <c r="C48" s="4">
        <v>1.0182348999999999</v>
      </c>
      <c r="D48" s="4">
        <v>9.0411599999999995E-2</v>
      </c>
      <c r="E48" s="4">
        <v>0.2</v>
      </c>
      <c r="F48" s="4">
        <v>0.84159700000000004</v>
      </c>
    </row>
    <row r="49" spans="1:8" s="4" customFormat="1" ht="16">
      <c r="A49" s="4" t="s">
        <v>72</v>
      </c>
      <c r="B49" s="4">
        <v>1.52505E-2</v>
      </c>
      <c r="C49" s="4">
        <v>1.0153673999999999</v>
      </c>
      <c r="D49" s="4">
        <v>4.4202999999999999E-2</v>
      </c>
      <c r="E49" s="4">
        <v>0.34499999999999997</v>
      </c>
      <c r="F49" s="4">
        <v>0.73011499999999996</v>
      </c>
    </row>
    <row r="50" spans="1:8" s="4" customFormat="1" ht="16">
      <c r="A50" s="4" t="s">
        <v>73</v>
      </c>
      <c r="B50" s="4">
        <v>-0.1056267</v>
      </c>
      <c r="C50" s="4">
        <v>0.89976049999999996</v>
      </c>
      <c r="D50" s="4">
        <v>8.7708599999999998E-2</v>
      </c>
      <c r="E50" s="4">
        <v>-1.204</v>
      </c>
      <c r="F50" s="4">
        <v>0.22858600000000001</v>
      </c>
    </row>
    <row r="51" spans="1:8" s="4" customFormat="1" ht="16">
      <c r="A51" s="4" t="s">
        <v>74</v>
      </c>
      <c r="B51" s="4">
        <v>-8.8745199999999996E-2</v>
      </c>
      <c r="C51" s="4">
        <v>0.91507870000000002</v>
      </c>
      <c r="D51" s="4">
        <v>9.3039399999999994E-2</v>
      </c>
      <c r="E51" s="4">
        <v>-0.95399999999999996</v>
      </c>
      <c r="F51" s="4">
        <v>0.34025</v>
      </c>
    </row>
    <row r="52" spans="1:8" s="4" customFormat="1" ht="16">
      <c r="A52" s="4" t="s">
        <v>75</v>
      </c>
      <c r="B52" s="4">
        <v>-3.4564699999999997E-2</v>
      </c>
      <c r="C52" s="4">
        <v>0.96602580000000005</v>
      </c>
      <c r="D52" s="4">
        <v>3.6468599999999997E-2</v>
      </c>
      <c r="E52" s="4">
        <v>-0.94799999999999995</v>
      </c>
      <c r="F52" s="4">
        <v>0.34332299999999999</v>
      </c>
    </row>
    <row r="53" spans="1:8" s="4" customFormat="1" ht="16">
      <c r="A53" s="4" t="s">
        <v>76</v>
      </c>
      <c r="B53" s="4">
        <v>-5.29851E-2</v>
      </c>
      <c r="C53" s="4">
        <v>0.94839419999999997</v>
      </c>
      <c r="D53" s="4">
        <v>0.33683299999999999</v>
      </c>
      <c r="E53" s="4">
        <v>-0.157</v>
      </c>
      <c r="F53" s="4">
        <v>0.87501799999999996</v>
      </c>
    </row>
    <row r="54" spans="1:8" s="4" customFormat="1" ht="16">
      <c r="A54" s="4" t="s">
        <v>77</v>
      </c>
      <c r="B54" s="4">
        <v>6.6372200000000006E-2</v>
      </c>
      <c r="C54" s="4">
        <v>1.0686244</v>
      </c>
      <c r="D54" s="4">
        <v>8.1055799999999997E-2</v>
      </c>
      <c r="E54" s="4">
        <v>0.81899999999999995</v>
      </c>
      <c r="F54" s="4">
        <v>0.41294900000000001</v>
      </c>
    </row>
    <row r="55" spans="1:8" s="4" customFormat="1" ht="16">
      <c r="A55" s="4" t="s">
        <v>78</v>
      </c>
      <c r="B55" s="4">
        <v>-4.5409199999999997E-2</v>
      </c>
      <c r="C55" s="4">
        <v>0.95560639999999997</v>
      </c>
      <c r="D55" s="4">
        <v>5.4610499999999999E-2</v>
      </c>
      <c r="E55" s="4">
        <v>-0.83199999999999996</v>
      </c>
      <c r="F55" s="4">
        <v>0.40576200000000001</v>
      </c>
    </row>
    <row r="56" spans="1:8" s="4" customFormat="1" ht="16">
      <c r="A56" s="4" t="s">
        <v>79</v>
      </c>
      <c r="B56" s="4">
        <v>-2.4527E-2</v>
      </c>
      <c r="C56" s="4">
        <v>0.97577139999999996</v>
      </c>
      <c r="D56" s="4">
        <v>0.13933409999999999</v>
      </c>
      <c r="E56" s="4">
        <v>-0.17599999999999999</v>
      </c>
      <c r="F56" s="4">
        <v>0.86028400000000005</v>
      </c>
    </row>
    <row r="57" spans="1:8" s="4" customFormat="1" ht="16">
      <c r="A57" s="4" t="s">
        <v>80</v>
      </c>
      <c r="B57" s="4">
        <v>-7.44065E-2</v>
      </c>
      <c r="C57" s="4">
        <v>0.92829430000000002</v>
      </c>
      <c r="D57" s="4">
        <v>6.1564199999999999E-2</v>
      </c>
      <c r="E57" s="4">
        <v>-1.2090000000000001</v>
      </c>
      <c r="F57" s="4">
        <v>0.22692699999999999</v>
      </c>
    </row>
    <row r="58" spans="1:8" s="4" customFormat="1" ht="16">
      <c r="A58" s="4" t="s">
        <v>81</v>
      </c>
      <c r="B58" s="4">
        <v>-6.6530900000000004E-2</v>
      </c>
      <c r="C58" s="4">
        <v>0.93563399999999997</v>
      </c>
      <c r="D58" s="4">
        <v>3.4245600000000001E-2</v>
      </c>
      <c r="E58" s="4">
        <v>-1.9430000000000001</v>
      </c>
      <c r="F58" s="4">
        <v>5.2152999999999998E-2</v>
      </c>
    </row>
    <row r="59" spans="1:8" s="4" customFormat="1" ht="16">
      <c r="A59" s="4" t="s">
        <v>82</v>
      </c>
      <c r="B59" s="4">
        <v>-7.4512400000000006E-2</v>
      </c>
      <c r="C59" s="4">
        <v>0.92819589999999996</v>
      </c>
      <c r="D59" s="4">
        <v>7.5850100000000004E-2</v>
      </c>
      <c r="E59" s="4">
        <v>-0.98199999999999998</v>
      </c>
      <c r="F59" s="4">
        <v>0.32601200000000002</v>
      </c>
    </row>
    <row r="60" spans="1:8" ht="16">
      <c r="A60" s="61" t="s">
        <v>83</v>
      </c>
      <c r="B60" s="2">
        <v>-0.13800509999999999</v>
      </c>
      <c r="C60" s="2">
        <v>0.87109420000000004</v>
      </c>
      <c r="D60" s="2">
        <v>4.2868499999999997E-2</v>
      </c>
      <c r="E60" s="6">
        <v>-3.2189999999999999</v>
      </c>
      <c r="F60" s="2">
        <v>1.3010000000000001E-3</v>
      </c>
      <c r="G60" s="2" t="s">
        <v>111</v>
      </c>
      <c r="H60" s="4" t="str">
        <f>IF(C60&gt;1, "Y", "N")</f>
        <v>N</v>
      </c>
    </row>
    <row r="61" spans="1:8" s="4" customFormat="1" ht="16">
      <c r="A61" s="4" t="s">
        <v>85</v>
      </c>
      <c r="B61" s="4">
        <v>5.9965200000000003E-2</v>
      </c>
      <c r="C61" s="4">
        <v>1.0617996000000001</v>
      </c>
      <c r="D61" s="4">
        <v>0.1695324</v>
      </c>
      <c r="E61" s="4">
        <v>0.35399999999999998</v>
      </c>
      <c r="F61" s="4">
        <v>0.72358500000000003</v>
      </c>
    </row>
    <row r="62" spans="1:8" s="4" customFormat="1" ht="16">
      <c r="A62" s="4" t="s">
        <v>86</v>
      </c>
      <c r="B62" s="4">
        <v>6.5945799999999999E-2</v>
      </c>
      <c r="C62" s="4">
        <v>1.0681688</v>
      </c>
      <c r="D62" s="4">
        <v>5.9267300000000002E-2</v>
      </c>
      <c r="E62" s="4">
        <v>1.113</v>
      </c>
      <c r="F62" s="4">
        <v>0.26594699999999999</v>
      </c>
    </row>
    <row r="63" spans="1:8" s="4" customFormat="1" ht="16">
      <c r="A63" s="4" t="s">
        <v>87</v>
      </c>
      <c r="B63" s="4">
        <v>-0.13106319999999999</v>
      </c>
      <c r="C63" s="4">
        <v>0.87716229999999995</v>
      </c>
      <c r="D63" s="4">
        <v>7.4410199999999996E-2</v>
      </c>
      <c r="E63" s="4">
        <v>-1.7609999999999999</v>
      </c>
      <c r="F63" s="4">
        <v>7.8295000000000003E-2</v>
      </c>
    </row>
    <row r="64" spans="1:8" ht="16">
      <c r="A64" s="4" t="s">
        <v>88</v>
      </c>
      <c r="B64" s="2">
        <v>-0.2784894</v>
      </c>
      <c r="C64" s="2">
        <v>0.75692630000000005</v>
      </c>
      <c r="D64" s="2">
        <v>0.1090223</v>
      </c>
      <c r="E64" s="6">
        <v>-2.5539999999999998</v>
      </c>
      <c r="F64" s="2">
        <v>1.0692999999999999E-2</v>
      </c>
      <c r="G64" s="2" t="s">
        <v>112</v>
      </c>
      <c r="H64" s="4" t="str">
        <f>IF(C64&gt;1, "Y", "N")</f>
        <v>N</v>
      </c>
    </row>
    <row r="65" spans="1:8" s="4" customFormat="1" ht="16">
      <c r="A65" s="4" t="s">
        <v>89</v>
      </c>
      <c r="B65" s="4">
        <v>9.6498399999999998E-2</v>
      </c>
      <c r="C65" s="4">
        <v>1.1013078000000001</v>
      </c>
      <c r="D65" s="4">
        <v>0.3390283</v>
      </c>
      <c r="E65" s="4">
        <v>0.28499999999999998</v>
      </c>
      <c r="F65" s="4">
        <v>0.775949</v>
      </c>
    </row>
    <row r="66" spans="1:8" s="4" customFormat="1" ht="16">
      <c r="A66" s="4" t="s">
        <v>94</v>
      </c>
      <c r="B66" s="4">
        <v>3.6353692</v>
      </c>
      <c r="C66" s="4">
        <v>37.915850599999999</v>
      </c>
      <c r="D66" s="4">
        <v>2.55149E-2</v>
      </c>
      <c r="E66" s="4">
        <v>142.47999999999999</v>
      </c>
      <c r="F66" s="4" t="s">
        <v>102</v>
      </c>
      <c r="G66" s="4" t="s">
        <v>103</v>
      </c>
      <c r="H66" s="4" t="str">
        <f>IF(C66&gt;1, "Y", "N")</f>
        <v>Y</v>
      </c>
    </row>
    <row r="67" spans="1:8" s="4" customFormat="1" ht="16">
      <c r="A67" s="4" t="s">
        <v>109</v>
      </c>
      <c r="B67" s="4">
        <v>4.2528200000000002E-2</v>
      </c>
      <c r="C67" s="4">
        <v>1.0434455</v>
      </c>
      <c r="D67" s="4">
        <v>9.0804700000000002E-2</v>
      </c>
      <c r="E67" s="4">
        <v>0.46800000000000003</v>
      </c>
      <c r="F67" s="4">
        <v>0.639575</v>
      </c>
    </row>
  </sheetData>
  <autoFilter ref="A1:H67" xr:uid="{A4DBACD5-321F-EA47-BF85-9FE97E065164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9BC7-F4E4-FE4A-9F2D-74F2C80890BA}">
  <dimension ref="A1:H66"/>
  <sheetViews>
    <sheetView workbookViewId="0">
      <selection sqref="A1:XFD1"/>
    </sheetView>
  </sheetViews>
  <sheetFormatPr baseColWidth="10" defaultRowHeight="14"/>
  <cols>
    <col min="1" max="1" width="44.33203125" style="2" customWidth="1"/>
    <col min="2" max="2" width="10.83203125" style="2"/>
    <col min="3" max="3" width="17.83203125" style="2" customWidth="1"/>
    <col min="4" max="6" width="10.83203125" style="2"/>
    <col min="7" max="7" width="15" style="2" customWidth="1"/>
    <col min="8" max="16384" width="10.83203125" style="2"/>
  </cols>
  <sheetData>
    <row r="1" spans="1:8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  <c r="H1" s="8" t="s">
        <v>133</v>
      </c>
    </row>
    <row r="2" spans="1:8">
      <c r="A2" s="2" t="s">
        <v>107</v>
      </c>
      <c r="B2" s="2">
        <v>0.67228209999999999</v>
      </c>
      <c r="C2" s="2">
        <f>EXP(B2)</f>
        <v>1.958702178313475</v>
      </c>
      <c r="D2" s="2">
        <v>1.8985399999999999E-2</v>
      </c>
      <c r="E2" s="2">
        <v>35.411000000000001</v>
      </c>
      <c r="F2" s="2" t="s">
        <v>127</v>
      </c>
      <c r="G2" s="2" t="s">
        <v>103</v>
      </c>
      <c r="H2" s="2" t="str">
        <f>IF(C2&gt;1, "Y", "N")</f>
        <v>Y</v>
      </c>
    </row>
    <row r="3" spans="1:8">
      <c r="A3" s="2" t="s">
        <v>108</v>
      </c>
      <c r="B3" s="2">
        <v>-5.3089999999999995E-4</v>
      </c>
      <c r="C3" s="2">
        <f t="shared" ref="C3:C66" si="0">EXP(B3)</f>
        <v>0.9994692409024688</v>
      </c>
      <c r="D3" s="2">
        <v>2.1599999999999999E-4</v>
      </c>
      <c r="E3" s="6">
        <v>-2.4580000000000002</v>
      </c>
      <c r="F3" s="2">
        <v>1.4E-2</v>
      </c>
      <c r="G3" s="2" t="s">
        <v>112</v>
      </c>
      <c r="H3" s="2" t="str">
        <f>IF(C3&gt;1, "Y", "N")</f>
        <v>N</v>
      </c>
    </row>
    <row r="4" spans="1:8">
      <c r="A4" s="2" t="s">
        <v>18</v>
      </c>
      <c r="B4" s="2">
        <v>7.0090999999999999E-3</v>
      </c>
      <c r="C4" s="2">
        <f t="shared" si="0"/>
        <v>1.0070337212320157</v>
      </c>
      <c r="D4" s="2">
        <v>2.334E-2</v>
      </c>
      <c r="E4" s="2">
        <v>0.3</v>
      </c>
      <c r="F4" s="2">
        <v>0.76400000000000001</v>
      </c>
    </row>
    <row r="5" spans="1:8">
      <c r="A5" s="2" t="s">
        <v>20</v>
      </c>
      <c r="B5" s="2">
        <v>-1.67665E-2</v>
      </c>
      <c r="C5" s="2">
        <f t="shared" si="0"/>
        <v>0.98337327548896092</v>
      </c>
      <c r="D5" s="2">
        <v>1.8417300000000001E-2</v>
      </c>
      <c r="E5" s="2">
        <v>-0.91</v>
      </c>
      <c r="F5" s="2">
        <v>0.36270000000000002</v>
      </c>
    </row>
    <row r="6" spans="1:8">
      <c r="A6" s="2" t="s">
        <v>21</v>
      </c>
      <c r="B6" s="2">
        <v>7.4099999999999999E-3</v>
      </c>
      <c r="C6" s="2">
        <f t="shared" si="0"/>
        <v>1.0074375219873106</v>
      </c>
      <c r="D6" s="2">
        <v>1.12268E-2</v>
      </c>
      <c r="E6" s="2">
        <v>0.66</v>
      </c>
      <c r="F6" s="2">
        <v>0.50929999999999997</v>
      </c>
    </row>
    <row r="7" spans="1:8">
      <c r="A7" s="2" t="s">
        <v>22</v>
      </c>
      <c r="B7" s="2">
        <v>-5.40058E-2</v>
      </c>
      <c r="C7" s="2">
        <f t="shared" si="0"/>
        <v>0.94742661141151641</v>
      </c>
      <c r="D7" s="2">
        <v>3.7317400000000001E-2</v>
      </c>
      <c r="E7" s="2">
        <v>-1.4470000000000001</v>
      </c>
      <c r="F7" s="2">
        <v>0.1479</v>
      </c>
    </row>
    <row r="8" spans="1:8">
      <c r="A8" s="2" t="s">
        <v>23</v>
      </c>
      <c r="B8" s="2">
        <v>-4.5715E-3</v>
      </c>
      <c r="C8" s="2">
        <f t="shared" si="0"/>
        <v>0.9954389334013054</v>
      </c>
      <c r="D8" s="2">
        <v>1.31164E-2</v>
      </c>
      <c r="E8" s="2">
        <v>-0.34899999999999998</v>
      </c>
      <c r="F8" s="2">
        <v>0.72750000000000004</v>
      </c>
    </row>
    <row r="9" spans="1:8">
      <c r="A9" s="2" t="s">
        <v>24</v>
      </c>
      <c r="B9" s="2">
        <v>6.1494100000000003E-2</v>
      </c>
      <c r="C9" s="2">
        <f t="shared" si="0"/>
        <v>1.0634242223073791</v>
      </c>
      <c r="D9" s="2">
        <v>2.5741900000000002E-2</v>
      </c>
      <c r="E9" s="6">
        <v>2.3889999999999998</v>
      </c>
      <c r="F9" s="2">
        <v>1.6899999999999998E-2</v>
      </c>
      <c r="G9" s="2" t="s">
        <v>112</v>
      </c>
      <c r="H9" s="2" t="str">
        <f t="shared" ref="H9:H10" si="1">IF(C9&gt;1, "Y", "N")</f>
        <v>Y</v>
      </c>
    </row>
    <row r="10" spans="1:8">
      <c r="A10" s="2" t="s">
        <v>29</v>
      </c>
      <c r="B10" s="2">
        <v>-5.04386E-2</v>
      </c>
      <c r="C10" s="2">
        <f t="shared" si="0"/>
        <v>0.95081230675573625</v>
      </c>
      <c r="D10" s="2">
        <v>1.69277E-2</v>
      </c>
      <c r="E10" s="6">
        <v>-2.98</v>
      </c>
      <c r="F10" s="2">
        <v>2.8999999999999998E-3</v>
      </c>
      <c r="G10" s="2" t="s">
        <v>111</v>
      </c>
      <c r="H10" s="2" t="str">
        <f t="shared" si="1"/>
        <v>N</v>
      </c>
    </row>
    <row r="11" spans="1:8">
      <c r="A11" s="2" t="s">
        <v>30</v>
      </c>
      <c r="B11" s="2">
        <v>1.9259800000000001E-2</v>
      </c>
      <c r="C11" s="2">
        <f t="shared" si="0"/>
        <v>1.0194464664080602</v>
      </c>
      <c r="D11" s="2">
        <v>1.3238099999999999E-2</v>
      </c>
      <c r="E11" s="2">
        <v>1.4550000000000001</v>
      </c>
      <c r="F11" s="2">
        <v>0.14580000000000001</v>
      </c>
    </row>
    <row r="12" spans="1:8">
      <c r="A12" s="2" t="s">
        <v>33</v>
      </c>
      <c r="B12" s="2">
        <v>-0.25849569999999999</v>
      </c>
      <c r="C12" s="2">
        <f t="shared" si="0"/>
        <v>0.77221235155515744</v>
      </c>
      <c r="D12" s="2">
        <v>2.9864600000000002E-2</v>
      </c>
      <c r="E12" s="2">
        <v>-8.6560000000000006</v>
      </c>
      <c r="F12" s="2" t="s">
        <v>127</v>
      </c>
      <c r="G12" s="2" t="s">
        <v>103</v>
      </c>
      <c r="H12" s="2" t="str">
        <f t="shared" ref="H12:H13" si="2">IF(C12&gt;1, "Y", "N")</f>
        <v>N</v>
      </c>
    </row>
    <row r="13" spans="1:8">
      <c r="A13" s="11" t="s">
        <v>35</v>
      </c>
      <c r="B13" s="2">
        <v>-0.64118010000000003</v>
      </c>
      <c r="C13" s="2">
        <f t="shared" si="0"/>
        <v>0.52667053327225688</v>
      </c>
      <c r="D13" s="2">
        <v>0.26179459999999999</v>
      </c>
      <c r="E13" s="6">
        <v>-2.4489999999999998</v>
      </c>
      <c r="F13" s="2">
        <v>1.44E-2</v>
      </c>
      <c r="G13" s="2" t="s">
        <v>112</v>
      </c>
      <c r="H13" s="2" t="str">
        <f t="shared" si="2"/>
        <v>N</v>
      </c>
    </row>
    <row r="14" spans="1:8">
      <c r="A14" s="2" t="s">
        <v>36</v>
      </c>
      <c r="B14" s="2">
        <v>-0.1409687</v>
      </c>
      <c r="C14" s="2">
        <f t="shared" si="0"/>
        <v>0.86851649583855361</v>
      </c>
      <c r="D14" s="2">
        <v>0.15145429999999999</v>
      </c>
      <c r="E14" s="2">
        <v>-0.93100000000000005</v>
      </c>
      <c r="F14" s="2">
        <v>0.35199999999999998</v>
      </c>
    </row>
    <row r="15" spans="1:8">
      <c r="A15" s="2" t="s">
        <v>37</v>
      </c>
      <c r="B15" s="2">
        <v>-7.1745900000000001E-2</v>
      </c>
      <c r="C15" s="2">
        <f t="shared" si="0"/>
        <v>0.93076737375508178</v>
      </c>
      <c r="D15" s="2">
        <v>3.3060699999999998E-2</v>
      </c>
      <c r="E15" s="6">
        <v>-2.17</v>
      </c>
      <c r="F15" s="2">
        <v>0.03</v>
      </c>
      <c r="G15" s="2" t="s">
        <v>112</v>
      </c>
      <c r="H15" s="2" t="str">
        <f t="shared" ref="H15:H16" si="3">IF(C15&gt;1, "Y", "N")</f>
        <v>N</v>
      </c>
    </row>
    <row r="16" spans="1:8">
      <c r="A16" s="2" t="s">
        <v>39</v>
      </c>
      <c r="B16" s="2">
        <v>-0.14301939999999999</v>
      </c>
      <c r="C16" s="2">
        <f t="shared" si="0"/>
        <v>0.86673725402965718</v>
      </c>
      <c r="D16" s="2">
        <v>5.8809699999999999E-2</v>
      </c>
      <c r="E16" s="6">
        <v>-2.4319999999999999</v>
      </c>
      <c r="F16" s="2">
        <v>1.5100000000000001E-2</v>
      </c>
      <c r="G16" s="2" t="s">
        <v>112</v>
      </c>
      <c r="H16" s="2" t="str">
        <f t="shared" si="3"/>
        <v>N</v>
      </c>
    </row>
    <row r="17" spans="1:7">
      <c r="A17" s="2" t="s">
        <v>40</v>
      </c>
      <c r="B17" s="2">
        <v>1.43874E-2</v>
      </c>
      <c r="C17" s="2">
        <f t="shared" si="0"/>
        <v>1.0144913967886324</v>
      </c>
      <c r="D17" s="2">
        <v>3.4566899999999998E-2</v>
      </c>
      <c r="E17" s="2">
        <v>0.41599999999999998</v>
      </c>
      <c r="F17" s="2">
        <v>0.67730000000000001</v>
      </c>
    </row>
    <row r="18" spans="1:7">
      <c r="A18" s="2" t="s">
        <v>41</v>
      </c>
      <c r="B18" s="2">
        <v>-3.0463E-3</v>
      </c>
      <c r="C18" s="2">
        <f t="shared" si="0"/>
        <v>0.99695833526384892</v>
      </c>
      <c r="D18" s="2">
        <v>1.8415000000000001E-2</v>
      </c>
      <c r="E18" s="2">
        <v>-0.16500000000000001</v>
      </c>
      <c r="F18" s="2">
        <v>0.86860000000000004</v>
      </c>
    </row>
    <row r="19" spans="1:7">
      <c r="A19" s="2" t="s">
        <v>42</v>
      </c>
      <c r="B19" s="2">
        <v>-3.6094500000000002E-2</v>
      </c>
      <c r="C19" s="2">
        <f t="shared" si="0"/>
        <v>0.96454913928249264</v>
      </c>
      <c r="D19" s="2">
        <v>5.6266799999999999E-2</v>
      </c>
      <c r="E19" s="2">
        <v>-0.64100000000000001</v>
      </c>
      <c r="F19" s="2">
        <v>0.5212</v>
      </c>
    </row>
    <row r="20" spans="1:7">
      <c r="A20" s="2" t="s">
        <v>43</v>
      </c>
      <c r="B20" s="2">
        <v>4.1423599999999998E-2</v>
      </c>
      <c r="C20" s="2">
        <f t="shared" si="0"/>
        <v>1.0422935275839758</v>
      </c>
      <c r="D20" s="2">
        <v>3.0644100000000001E-2</v>
      </c>
      <c r="E20" s="2">
        <v>1.3520000000000001</v>
      </c>
      <c r="F20" s="2">
        <v>0.17649999999999999</v>
      </c>
    </row>
    <row r="21" spans="1:7">
      <c r="A21" s="2" t="s">
        <v>44</v>
      </c>
      <c r="B21" s="2">
        <v>7.4979400000000002E-2</v>
      </c>
      <c r="C21" s="2">
        <f t="shared" si="0"/>
        <v>1.0778619466998272</v>
      </c>
      <c r="D21" s="2">
        <v>6.4864900000000003E-2</v>
      </c>
      <c r="E21" s="2">
        <v>1.1559999999999999</v>
      </c>
      <c r="F21" s="2">
        <v>0.24779999999999999</v>
      </c>
    </row>
    <row r="22" spans="1:7">
      <c r="A22" s="2" t="s">
        <v>45</v>
      </c>
      <c r="B22" s="2">
        <v>-7.1148900000000001E-2</v>
      </c>
      <c r="C22" s="2">
        <f t="shared" si="0"/>
        <v>0.93132320777716038</v>
      </c>
      <c r="D22" s="2">
        <v>7.6739299999999996E-2</v>
      </c>
      <c r="E22" s="2">
        <v>-0.92700000000000005</v>
      </c>
      <c r="F22" s="2">
        <v>0.35389999999999999</v>
      </c>
    </row>
    <row r="23" spans="1:7">
      <c r="A23" s="2" t="s">
        <v>46</v>
      </c>
      <c r="B23" s="2">
        <v>3.0469400000000001E-2</v>
      </c>
      <c r="C23" s="2">
        <f t="shared" si="0"/>
        <v>1.0309383428528198</v>
      </c>
      <c r="D23" s="2">
        <v>1.99247E-2</v>
      </c>
      <c r="E23" s="2">
        <v>1.5289999999999999</v>
      </c>
      <c r="F23" s="2">
        <v>0.1263</v>
      </c>
    </row>
    <row r="24" spans="1:7">
      <c r="A24" s="2" t="s">
        <v>47</v>
      </c>
      <c r="B24" s="2">
        <v>-1.22655E-2</v>
      </c>
      <c r="C24" s="2">
        <f t="shared" si="0"/>
        <v>0.9878094146437949</v>
      </c>
      <c r="D24" s="2">
        <v>2.5899200000000001E-2</v>
      </c>
      <c r="E24" s="2">
        <v>-0.47399999999999998</v>
      </c>
      <c r="F24" s="2">
        <v>0.63580000000000003</v>
      </c>
    </row>
    <row r="25" spans="1:7">
      <c r="A25" s="2" t="s">
        <v>49</v>
      </c>
      <c r="B25" s="2">
        <v>-5.9008000000000003E-3</v>
      </c>
      <c r="C25" s="2">
        <f t="shared" si="0"/>
        <v>0.9941165755270176</v>
      </c>
      <c r="D25" s="2">
        <v>4.5323000000000002E-2</v>
      </c>
      <c r="E25" s="2">
        <v>-0.13</v>
      </c>
      <c r="F25" s="2">
        <v>0.89639999999999997</v>
      </c>
    </row>
    <row r="26" spans="1:7">
      <c r="A26" s="2" t="s">
        <v>50</v>
      </c>
      <c r="B26" s="2">
        <v>-5.06992E-2</v>
      </c>
      <c r="C26" s="2">
        <f t="shared" si="0"/>
        <v>0.95056455735174517</v>
      </c>
      <c r="D26" s="2">
        <v>6.3233700000000004E-2</v>
      </c>
      <c r="E26" s="2">
        <v>-0.80200000000000005</v>
      </c>
      <c r="F26" s="2">
        <v>0.42270000000000002</v>
      </c>
    </row>
    <row r="27" spans="1:7">
      <c r="A27" s="2" t="s">
        <v>51</v>
      </c>
      <c r="B27" s="2">
        <v>6.6450000000000005E-4</v>
      </c>
      <c r="C27" s="2">
        <f t="shared" si="0"/>
        <v>1.000664720829036</v>
      </c>
      <c r="D27" s="2">
        <v>6.8919300000000003E-2</v>
      </c>
      <c r="E27" s="2">
        <v>0.01</v>
      </c>
      <c r="F27" s="2">
        <v>0.99229999999999996</v>
      </c>
    </row>
    <row r="28" spans="1:7">
      <c r="A28" s="2" t="s">
        <v>52</v>
      </c>
      <c r="B28" s="2">
        <v>9.7777999999999997E-3</v>
      </c>
      <c r="C28" s="2">
        <f t="shared" si="0"/>
        <v>1.0098257588697179</v>
      </c>
      <c r="D28" s="2">
        <v>2.88991E-2</v>
      </c>
      <c r="E28" s="2">
        <v>0.33800000000000002</v>
      </c>
      <c r="F28" s="2">
        <v>0.73509999999999998</v>
      </c>
    </row>
    <row r="29" spans="1:7">
      <c r="A29" s="2" t="s">
        <v>53</v>
      </c>
      <c r="B29" s="2">
        <v>1.27736E-2</v>
      </c>
      <c r="C29" s="2">
        <f t="shared" si="0"/>
        <v>1.012855530907705</v>
      </c>
      <c r="D29" s="2">
        <v>2.52077E-2</v>
      </c>
      <c r="E29" s="2">
        <v>0.50700000000000001</v>
      </c>
      <c r="F29" s="2">
        <v>0.61240000000000006</v>
      </c>
    </row>
    <row r="30" spans="1:7">
      <c r="A30" s="2" t="s">
        <v>54</v>
      </c>
      <c r="B30" s="2">
        <v>3.74764E-2</v>
      </c>
      <c r="C30" s="2">
        <f t="shared" si="0"/>
        <v>1.038187495567813</v>
      </c>
      <c r="D30" s="2">
        <v>5.5207100000000002E-2</v>
      </c>
      <c r="E30" s="2">
        <v>0.67900000000000005</v>
      </c>
      <c r="F30" s="2">
        <v>0.49730000000000002</v>
      </c>
    </row>
    <row r="31" spans="1:7">
      <c r="A31" s="2" t="s">
        <v>55</v>
      </c>
      <c r="B31" s="2">
        <v>2.86754E-2</v>
      </c>
      <c r="C31" s="2">
        <f t="shared" si="0"/>
        <v>1.0290904974786403</v>
      </c>
      <c r="D31" s="2">
        <v>4.4774399999999999E-2</v>
      </c>
      <c r="E31" s="2">
        <v>0.64</v>
      </c>
      <c r="F31" s="2">
        <v>0.52190000000000003</v>
      </c>
    </row>
    <row r="32" spans="1:7">
      <c r="A32" s="2" t="s">
        <v>56</v>
      </c>
      <c r="B32" s="2">
        <v>6.3438099999999997E-2</v>
      </c>
      <c r="C32" s="2">
        <f t="shared" si="0"/>
        <v>1.0654935297106578</v>
      </c>
      <c r="D32" s="2">
        <v>3.2958800000000003E-2</v>
      </c>
      <c r="E32" s="2">
        <v>1.925</v>
      </c>
      <c r="F32" s="2">
        <v>5.4300000000000001E-2</v>
      </c>
      <c r="G32" s="2" t="s">
        <v>110</v>
      </c>
    </row>
    <row r="33" spans="1:8">
      <c r="A33" s="2" t="s">
        <v>57</v>
      </c>
      <c r="B33" s="2">
        <v>-9.3262999999999992E-3</v>
      </c>
      <c r="C33" s="2">
        <f t="shared" si="0"/>
        <v>0.99071705505042418</v>
      </c>
      <c r="D33" s="2">
        <v>2.49289E-2</v>
      </c>
      <c r="E33" s="2">
        <v>-0.374</v>
      </c>
      <c r="F33" s="2">
        <v>0.70830000000000004</v>
      </c>
    </row>
    <row r="34" spans="1:8">
      <c r="A34" s="2" t="s">
        <v>58</v>
      </c>
      <c r="B34" s="2">
        <v>-1.2519799999999999E-2</v>
      </c>
      <c r="C34" s="2">
        <f t="shared" si="0"/>
        <v>0.98755824664701541</v>
      </c>
      <c r="D34" s="2">
        <v>2.6198300000000001E-2</v>
      </c>
      <c r="E34" s="2">
        <v>-0.47799999999999998</v>
      </c>
      <c r="F34" s="2">
        <v>0.63280000000000003</v>
      </c>
    </row>
    <row r="35" spans="1:8">
      <c r="A35" s="2" t="s">
        <v>59</v>
      </c>
      <c r="B35" s="2">
        <v>-2.47659E-2</v>
      </c>
      <c r="C35" s="2">
        <f t="shared" si="0"/>
        <v>0.9755382588056859</v>
      </c>
      <c r="D35" s="2">
        <v>6.6859399999999999E-2</v>
      </c>
      <c r="E35" s="2">
        <v>-0.37</v>
      </c>
      <c r="F35" s="2">
        <v>0.71109999999999995</v>
      </c>
    </row>
    <row r="36" spans="1:8">
      <c r="A36" s="2" t="s">
        <v>60</v>
      </c>
      <c r="B36" s="2">
        <v>1.4102999999999999E-2</v>
      </c>
      <c r="C36" s="2">
        <f t="shared" si="0"/>
        <v>1.014202916459233</v>
      </c>
      <c r="D36" s="2">
        <v>2.3551800000000001E-2</v>
      </c>
      <c r="E36" s="2">
        <v>0.59899999999999998</v>
      </c>
      <c r="F36" s="2">
        <v>0.54930000000000001</v>
      </c>
    </row>
    <row r="37" spans="1:8">
      <c r="A37" s="2" t="s">
        <v>61</v>
      </c>
      <c r="B37" s="2">
        <v>-8.5490499999999997E-2</v>
      </c>
      <c r="C37" s="2">
        <f t="shared" si="0"/>
        <v>0.91806186460044514</v>
      </c>
      <c r="D37" s="2">
        <v>3.7996599999999998E-2</v>
      </c>
      <c r="E37" s="6">
        <v>-2.25</v>
      </c>
      <c r="F37" s="2">
        <v>2.4500000000000001E-2</v>
      </c>
      <c r="G37" s="2" t="s">
        <v>112</v>
      </c>
      <c r="H37" s="2" t="str">
        <f>IF(C37&gt;1, "Y", "N")</f>
        <v>N</v>
      </c>
    </row>
    <row r="38" spans="1:8">
      <c r="A38" s="2" t="s">
        <v>62</v>
      </c>
      <c r="B38" s="2">
        <v>-1.2182500000000001E-2</v>
      </c>
      <c r="C38" s="2">
        <f t="shared" si="0"/>
        <v>0.98789140622781402</v>
      </c>
      <c r="D38" s="2">
        <v>3.8962200000000002E-2</v>
      </c>
      <c r="E38" s="2">
        <v>-0.313</v>
      </c>
      <c r="F38" s="2">
        <v>0.75449999999999995</v>
      </c>
    </row>
    <row r="39" spans="1:8">
      <c r="A39" s="2" t="s">
        <v>63</v>
      </c>
      <c r="B39" s="2">
        <v>5.7013800000000003E-2</v>
      </c>
      <c r="C39" s="2">
        <f t="shared" si="0"/>
        <v>1.0586704199464891</v>
      </c>
      <c r="D39" s="2">
        <v>4.2864300000000001E-2</v>
      </c>
      <c r="E39" s="2">
        <v>1.33</v>
      </c>
      <c r="F39" s="2">
        <v>0.1835</v>
      </c>
    </row>
    <row r="40" spans="1:8">
      <c r="A40" s="2" t="s">
        <v>64</v>
      </c>
      <c r="B40" s="2">
        <v>-4.4415400000000001E-2</v>
      </c>
      <c r="C40" s="2">
        <f t="shared" si="0"/>
        <v>0.95655652135230973</v>
      </c>
      <c r="D40" s="2">
        <v>9.3485200000000004E-2</v>
      </c>
      <c r="E40" s="2">
        <v>-0.47499999999999998</v>
      </c>
      <c r="F40" s="2">
        <v>0.63470000000000004</v>
      </c>
    </row>
    <row r="41" spans="1:8">
      <c r="A41" s="2" t="s">
        <v>65</v>
      </c>
      <c r="B41" s="2">
        <v>-8.6637999999999993E-3</v>
      </c>
      <c r="C41" s="2">
        <f t="shared" si="0"/>
        <v>0.99137362256336936</v>
      </c>
      <c r="D41" s="2">
        <v>2.54442E-2</v>
      </c>
      <c r="E41" s="2">
        <v>-0.34100000000000003</v>
      </c>
      <c r="F41" s="2">
        <v>0.73350000000000004</v>
      </c>
    </row>
    <row r="42" spans="1:8">
      <c r="A42" s="2" t="s">
        <v>66</v>
      </c>
      <c r="B42" s="2">
        <v>-0.1013435</v>
      </c>
      <c r="C42" s="2">
        <f t="shared" si="0"/>
        <v>0.9036225852115084</v>
      </c>
      <c r="D42" s="2">
        <v>9.3418299999999996E-2</v>
      </c>
      <c r="E42" s="2">
        <v>-1.085</v>
      </c>
      <c r="F42" s="2">
        <v>0.27810000000000001</v>
      </c>
    </row>
    <row r="43" spans="1:8">
      <c r="A43" s="2" t="s">
        <v>67</v>
      </c>
      <c r="B43" s="2">
        <v>-7.6351600000000006E-2</v>
      </c>
      <c r="C43" s="2">
        <f t="shared" si="0"/>
        <v>0.9264903952621385</v>
      </c>
      <c r="D43" s="2">
        <v>7.1403099999999997E-2</v>
      </c>
      <c r="E43" s="2">
        <v>-1.069</v>
      </c>
      <c r="F43" s="2">
        <v>0.28499999999999998</v>
      </c>
    </row>
    <row r="44" spans="1:8">
      <c r="A44" s="2" t="s">
        <v>68</v>
      </c>
      <c r="B44" s="2">
        <v>-2.8700699999999999E-2</v>
      </c>
      <c r="C44" s="2">
        <f t="shared" si="0"/>
        <v>0.97170725292874227</v>
      </c>
      <c r="D44" s="2">
        <v>7.1256399999999998E-2</v>
      </c>
      <c r="E44" s="2">
        <v>-0.40300000000000002</v>
      </c>
      <c r="F44" s="2">
        <v>0.68710000000000004</v>
      </c>
    </row>
    <row r="45" spans="1:8">
      <c r="A45" s="2" t="s">
        <v>69</v>
      </c>
      <c r="B45" s="2">
        <v>2.2867200000000001E-2</v>
      </c>
      <c r="C45" s="2">
        <f t="shared" si="0"/>
        <v>1.0231306587734488</v>
      </c>
      <c r="D45" s="2">
        <v>2.2134000000000001E-2</v>
      </c>
      <c r="E45" s="2">
        <v>1.0329999999999999</v>
      </c>
      <c r="F45" s="2">
        <v>0.30159999999999998</v>
      </c>
    </row>
    <row r="46" spans="1:8">
      <c r="A46" s="2" t="s">
        <v>70</v>
      </c>
      <c r="B46" s="2">
        <v>-0.1037889</v>
      </c>
      <c r="C46" s="2">
        <f t="shared" si="0"/>
        <v>0.9014155661636496</v>
      </c>
      <c r="D46" s="2">
        <v>8.0040700000000006E-2</v>
      </c>
      <c r="E46" s="2">
        <v>-1.2969999999999999</v>
      </c>
      <c r="F46" s="2">
        <v>0.1948</v>
      </c>
    </row>
    <row r="47" spans="1:8">
      <c r="A47" s="2" t="s">
        <v>71</v>
      </c>
      <c r="B47" s="2">
        <v>-2.1151999999999998E-3</v>
      </c>
      <c r="C47" s="2">
        <f t="shared" si="0"/>
        <v>0.99788703545909452</v>
      </c>
      <c r="D47" s="2">
        <v>4.3608800000000003E-2</v>
      </c>
      <c r="E47" s="2">
        <v>-4.9000000000000002E-2</v>
      </c>
      <c r="F47" s="2">
        <v>0.96130000000000004</v>
      </c>
    </row>
    <row r="48" spans="1:8">
      <c r="A48" s="2" t="s">
        <v>72</v>
      </c>
      <c r="B48" s="2">
        <v>3.3472200000000001E-2</v>
      </c>
      <c r="C48" s="2">
        <f t="shared" si="0"/>
        <v>1.0340386970509237</v>
      </c>
      <c r="D48" s="2">
        <v>2.5053300000000001E-2</v>
      </c>
      <c r="E48" s="2">
        <v>1.3360000000000001</v>
      </c>
      <c r="F48" s="2">
        <v>0.18160000000000001</v>
      </c>
    </row>
    <row r="49" spans="1:6">
      <c r="A49" s="2" t="s">
        <v>73</v>
      </c>
      <c r="B49" s="2">
        <v>2.6683700000000001E-2</v>
      </c>
      <c r="C49" s="2">
        <f t="shared" si="0"/>
        <v>1.0270428977139177</v>
      </c>
      <c r="D49" s="2">
        <v>4.4702499999999999E-2</v>
      </c>
      <c r="E49" s="2">
        <v>0.59699999999999998</v>
      </c>
      <c r="F49" s="2">
        <v>0.55059999999999998</v>
      </c>
    </row>
    <row r="50" spans="1:6">
      <c r="A50" s="2" t="s">
        <v>74</v>
      </c>
      <c r="B50" s="2">
        <v>1.6802999999999998E-2</v>
      </c>
      <c r="C50" s="2">
        <f t="shared" si="0"/>
        <v>1.0169449644326432</v>
      </c>
      <c r="D50" s="2">
        <v>6.8889599999999995E-2</v>
      </c>
      <c r="E50" s="2">
        <v>0.24399999999999999</v>
      </c>
      <c r="F50" s="2">
        <v>0.80730000000000002</v>
      </c>
    </row>
    <row r="51" spans="1:6">
      <c r="A51" s="2" t="s">
        <v>75</v>
      </c>
      <c r="B51" s="2">
        <v>1.02071E-2</v>
      </c>
      <c r="C51" s="2">
        <f t="shared" si="0"/>
        <v>1.0102593701359994</v>
      </c>
      <c r="D51" s="2">
        <v>2.1231900000000001E-2</v>
      </c>
      <c r="E51" s="2">
        <v>0.48099999999999998</v>
      </c>
      <c r="F51" s="2">
        <v>0.63070000000000004</v>
      </c>
    </row>
    <row r="52" spans="1:6">
      <c r="A52" s="2" t="s">
        <v>76</v>
      </c>
      <c r="B52" s="2">
        <v>0.13715569999999999</v>
      </c>
      <c r="C52" s="2">
        <f t="shared" si="0"/>
        <v>1.1470067235648294</v>
      </c>
      <c r="D52" s="2">
        <v>9.7309599999999996E-2</v>
      </c>
      <c r="E52" s="2">
        <v>1.409</v>
      </c>
      <c r="F52" s="2">
        <v>0.1588</v>
      </c>
    </row>
    <row r="53" spans="1:6">
      <c r="A53" s="2" t="s">
        <v>77</v>
      </c>
      <c r="B53" s="2">
        <v>9.4544999999999994E-3</v>
      </c>
      <c r="C53" s="2">
        <f t="shared" si="0"/>
        <v>1.0094993349711416</v>
      </c>
      <c r="D53" s="2">
        <v>4.2248599999999997E-2</v>
      </c>
      <c r="E53" s="2">
        <v>0.224</v>
      </c>
      <c r="F53" s="2">
        <v>0.82289999999999996</v>
      </c>
    </row>
    <row r="54" spans="1:6">
      <c r="A54" s="2" t="s">
        <v>78</v>
      </c>
      <c r="B54" s="2">
        <v>-1.15954E-2</v>
      </c>
      <c r="C54" s="2">
        <f t="shared" si="0"/>
        <v>0.98847156756210564</v>
      </c>
      <c r="D54" s="2">
        <v>2.96271E-2</v>
      </c>
      <c r="E54" s="2">
        <v>-0.39100000000000001</v>
      </c>
      <c r="F54" s="2">
        <v>0.69550000000000001</v>
      </c>
    </row>
    <row r="55" spans="1:6">
      <c r="A55" s="2" t="s">
        <v>79</v>
      </c>
      <c r="B55" s="2">
        <v>4.7160000000000001E-2</v>
      </c>
      <c r="C55" s="2">
        <f t="shared" si="0"/>
        <v>1.0482897220177856</v>
      </c>
      <c r="D55" s="2">
        <v>0.1076371</v>
      </c>
      <c r="E55" s="2">
        <v>0.438</v>
      </c>
      <c r="F55" s="2">
        <v>0.6613</v>
      </c>
    </row>
    <row r="56" spans="1:6">
      <c r="A56" s="2" t="s">
        <v>80</v>
      </c>
      <c r="B56" s="2">
        <v>-1.28433E-2</v>
      </c>
      <c r="C56" s="2">
        <f t="shared" si="0"/>
        <v>0.98723882322374945</v>
      </c>
      <c r="D56" s="2">
        <v>3.3857900000000003E-2</v>
      </c>
      <c r="E56" s="2">
        <v>-0.379</v>
      </c>
      <c r="F56" s="2">
        <v>0.70450000000000002</v>
      </c>
    </row>
    <row r="57" spans="1:6">
      <c r="A57" s="2" t="s">
        <v>81</v>
      </c>
      <c r="B57" s="2">
        <v>1.4539399999999999E-2</v>
      </c>
      <c r="C57" s="2">
        <f t="shared" si="0"/>
        <v>1.0146456112009428</v>
      </c>
      <c r="D57" s="2">
        <v>1.8412399999999999E-2</v>
      </c>
      <c r="E57" s="2">
        <v>0.79</v>
      </c>
      <c r="F57" s="2">
        <v>0.42980000000000002</v>
      </c>
    </row>
    <row r="58" spans="1:6">
      <c r="A58" s="2" t="s">
        <v>82</v>
      </c>
      <c r="B58" s="2">
        <v>-7.1680400000000005E-2</v>
      </c>
      <c r="C58" s="2">
        <f t="shared" si="0"/>
        <v>0.93082834101471867</v>
      </c>
      <c r="D58" s="2">
        <v>6.49478E-2</v>
      </c>
      <c r="E58" s="2">
        <v>-1.1040000000000001</v>
      </c>
      <c r="F58" s="2">
        <v>0.26979999999999998</v>
      </c>
    </row>
    <row r="59" spans="1:6">
      <c r="A59" s="2" t="s">
        <v>83</v>
      </c>
      <c r="B59" s="2">
        <v>-2.1274100000000001E-2</v>
      </c>
      <c r="C59" s="2">
        <f t="shared" si="0"/>
        <v>0.97895059743266744</v>
      </c>
      <c r="D59" s="2">
        <v>2.54664E-2</v>
      </c>
      <c r="E59" s="2">
        <v>-0.83499999999999996</v>
      </c>
      <c r="F59" s="2">
        <v>0.40350000000000003</v>
      </c>
    </row>
    <row r="60" spans="1:6">
      <c r="A60" s="2" t="s">
        <v>85</v>
      </c>
      <c r="B60" s="2">
        <v>-1.76673E-2</v>
      </c>
      <c r="C60" s="2">
        <f t="shared" si="0"/>
        <v>0.9824878516971487</v>
      </c>
      <c r="D60" s="2">
        <v>9.33808E-2</v>
      </c>
      <c r="E60" s="2">
        <v>-0.189</v>
      </c>
      <c r="F60" s="2">
        <v>0.84989999999999999</v>
      </c>
    </row>
    <row r="61" spans="1:6">
      <c r="A61" s="2" t="s">
        <v>86</v>
      </c>
      <c r="B61" s="2">
        <v>1.6787199999999999E-2</v>
      </c>
      <c r="C61" s="2">
        <f t="shared" si="0"/>
        <v>1.0169288968291395</v>
      </c>
      <c r="D61" s="2">
        <v>3.9557000000000002E-2</v>
      </c>
      <c r="E61" s="2">
        <v>0.42399999999999999</v>
      </c>
      <c r="F61" s="2">
        <v>0.67130000000000001</v>
      </c>
    </row>
    <row r="62" spans="1:6">
      <c r="A62" s="2" t="s">
        <v>87</v>
      </c>
      <c r="B62" s="2">
        <v>1.5024999999999999E-3</v>
      </c>
      <c r="C62" s="2">
        <f t="shared" si="0"/>
        <v>1.0015036293186546</v>
      </c>
      <c r="D62" s="2">
        <v>5.2244499999999999E-2</v>
      </c>
      <c r="E62" s="2">
        <v>2.9000000000000001E-2</v>
      </c>
      <c r="F62" s="2">
        <v>0.97709999999999997</v>
      </c>
    </row>
    <row r="63" spans="1:6">
      <c r="A63" s="2" t="s">
        <v>88</v>
      </c>
      <c r="B63" s="2">
        <v>-1.3412000000000001E-3</v>
      </c>
      <c r="C63" s="2">
        <f t="shared" si="0"/>
        <v>0.99865969900675911</v>
      </c>
      <c r="D63" s="2">
        <v>4.6369500000000001E-2</v>
      </c>
      <c r="E63" s="2">
        <v>-2.9000000000000001E-2</v>
      </c>
      <c r="F63" s="2">
        <v>0.97689999999999999</v>
      </c>
    </row>
    <row r="64" spans="1:6">
      <c r="A64" s="2" t="s">
        <v>89</v>
      </c>
      <c r="B64" s="2">
        <v>3.52238E-2</v>
      </c>
      <c r="C64" s="2">
        <f t="shared" si="0"/>
        <v>1.0358515064276397</v>
      </c>
      <c r="D64" s="2">
        <v>0.26140760000000002</v>
      </c>
      <c r="E64" s="2">
        <v>0.13500000000000001</v>
      </c>
      <c r="F64" s="2">
        <v>0.89280000000000004</v>
      </c>
    </row>
    <row r="65" spans="1:8">
      <c r="A65" s="2" t="s">
        <v>91</v>
      </c>
      <c r="B65" s="2">
        <v>-7.5764506999999996</v>
      </c>
      <c r="C65" s="2">
        <f t="shared" si="0"/>
        <v>5.1237657767667E-4</v>
      </c>
      <c r="D65" s="2">
        <v>-6.2334599999999997E-2</v>
      </c>
      <c r="E65" s="2">
        <v>121.545</v>
      </c>
      <c r="F65" s="2" t="s">
        <v>127</v>
      </c>
      <c r="G65" s="2" t="s">
        <v>103</v>
      </c>
      <c r="H65" s="2" t="str">
        <f t="shared" ref="H65:H66" si="4">IF(C65&gt;1, "Y", "N")</f>
        <v>N</v>
      </c>
    </row>
    <row r="66" spans="1:8">
      <c r="A66" s="2" t="s">
        <v>94</v>
      </c>
      <c r="B66" s="2">
        <v>2.6730744</v>
      </c>
      <c r="C66" s="2">
        <f t="shared" si="0"/>
        <v>14.484431746905974</v>
      </c>
      <c r="D66" s="2">
        <v>1.5822300000000001E-2</v>
      </c>
      <c r="E66" s="2">
        <v>168.94399999999999</v>
      </c>
      <c r="F66" s="2" t="s">
        <v>127</v>
      </c>
      <c r="G66" s="2" t="s">
        <v>103</v>
      </c>
      <c r="H66" s="2" t="str">
        <f t="shared" si="4"/>
        <v>Y</v>
      </c>
    </row>
  </sheetData>
  <autoFilter ref="A1:H66" xr:uid="{6D899BC7-F4E4-FE4A-9F2D-74F2C80890BA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98EA-3C59-3A42-9866-9DF104DA5C79}">
  <dimension ref="A1:H63"/>
  <sheetViews>
    <sheetView workbookViewId="0">
      <selection activeCell="J10" sqref="J10"/>
    </sheetView>
  </sheetViews>
  <sheetFormatPr baseColWidth="10" defaultRowHeight="14"/>
  <cols>
    <col min="1" max="1" width="37.5" style="2" customWidth="1"/>
    <col min="2" max="2" width="11" style="2" bestFit="1" customWidth="1"/>
    <col min="3" max="3" width="15.5" style="2" customWidth="1"/>
    <col min="4" max="5" width="11" style="2" bestFit="1" customWidth="1"/>
    <col min="6" max="6" width="11.33203125" style="2" bestFit="1" customWidth="1"/>
    <col min="7" max="7" width="16.33203125" style="2" customWidth="1"/>
    <col min="8" max="16384" width="10.83203125" style="2"/>
  </cols>
  <sheetData>
    <row r="1" spans="1:8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  <c r="H1" s="8" t="s">
        <v>133</v>
      </c>
    </row>
    <row r="2" spans="1:8">
      <c r="A2" s="2" t="s">
        <v>107</v>
      </c>
      <c r="B2" s="2">
        <v>2.1871679999999998</v>
      </c>
      <c r="C2" s="2">
        <f>EXP(B2)</f>
        <v>8.9099443885625309</v>
      </c>
      <c r="D2" s="2">
        <v>2.99279E-2</v>
      </c>
      <c r="E2" s="2">
        <v>73.081000000000003</v>
      </c>
      <c r="F2" s="2" t="s">
        <v>102</v>
      </c>
      <c r="G2" s="2" t="s">
        <v>103</v>
      </c>
      <c r="H2" s="2" t="str">
        <f>IF(C2&gt;1, "Y", "N")</f>
        <v>Y</v>
      </c>
    </row>
    <row r="3" spans="1:8">
      <c r="A3" s="2" t="s">
        <v>108</v>
      </c>
      <c r="B3" s="2">
        <v>3.8929999999999998E-4</v>
      </c>
      <c r="C3" s="2">
        <f t="shared" ref="C3:C63" si="0">EXP(B3)</f>
        <v>1.0003893757870794</v>
      </c>
      <c r="D3" s="2">
        <v>3.0590000000000001E-4</v>
      </c>
      <c r="E3" s="2">
        <v>1.2729999999999999</v>
      </c>
      <c r="F3" s="2">
        <v>0.20327999999999999</v>
      </c>
    </row>
    <row r="4" spans="1:8">
      <c r="A4" s="2" t="s">
        <v>20</v>
      </c>
      <c r="B4" s="2">
        <v>0.12684380000000001</v>
      </c>
      <c r="C4" s="2">
        <f t="shared" si="0"/>
        <v>1.1352396794937898</v>
      </c>
      <c r="D4" s="2">
        <v>2.6130899999999999E-2</v>
      </c>
      <c r="E4" s="2" t="s">
        <v>128</v>
      </c>
      <c r="F4" s="3">
        <v>3.1E-7</v>
      </c>
      <c r="G4" s="2" t="s">
        <v>103</v>
      </c>
      <c r="H4" s="2" t="str">
        <f t="shared" ref="H4:H5" si="1">IF(C4&gt;1, "Y", "N")</f>
        <v>Y</v>
      </c>
    </row>
    <row r="5" spans="1:8">
      <c r="A5" s="2" t="s">
        <v>21</v>
      </c>
      <c r="B5" s="2">
        <v>4.5712299999999997E-2</v>
      </c>
      <c r="C5" s="2">
        <f t="shared" si="0"/>
        <v>1.0467732109785992</v>
      </c>
      <c r="D5" s="2">
        <v>1.7403100000000001E-2</v>
      </c>
      <c r="E5" s="6">
        <v>2.6269999999999998</v>
      </c>
      <c r="F5" s="2">
        <v>8.6899999999999998E-3</v>
      </c>
      <c r="G5" s="2" t="s">
        <v>111</v>
      </c>
      <c r="H5" s="2" t="str">
        <f t="shared" si="1"/>
        <v>Y</v>
      </c>
    </row>
    <row r="6" spans="1:8">
      <c r="A6" s="2" t="s">
        <v>23</v>
      </c>
      <c r="B6" s="2">
        <v>4.0011699999999997E-2</v>
      </c>
      <c r="C6" s="2">
        <f t="shared" si="0"/>
        <v>1.0408229517496848</v>
      </c>
      <c r="D6" s="2">
        <v>2.1451700000000001E-2</v>
      </c>
      <c r="E6" s="2">
        <v>1.865</v>
      </c>
      <c r="F6" s="2">
        <v>6.2309999999999997E-2</v>
      </c>
      <c r="G6" s="2" t="s">
        <v>110</v>
      </c>
    </row>
    <row r="7" spans="1:8">
      <c r="A7" s="2" t="s">
        <v>24</v>
      </c>
      <c r="B7" s="2">
        <v>7.1215600000000004E-2</v>
      </c>
      <c r="C7" s="2">
        <f t="shared" si="0"/>
        <v>1.0738127149342793</v>
      </c>
      <c r="D7" s="2">
        <v>3.24155E-2</v>
      </c>
      <c r="E7" s="6">
        <v>2.1970000000000001</v>
      </c>
      <c r="F7" s="2">
        <v>2.8150000000000001E-2</v>
      </c>
      <c r="G7" s="2" t="s">
        <v>112</v>
      </c>
      <c r="H7" s="2" t="str">
        <f>IF(C7&gt;1, "Y", "N")</f>
        <v>Y</v>
      </c>
    </row>
    <row r="8" spans="1:8">
      <c r="A8" s="2" t="s">
        <v>29</v>
      </c>
      <c r="B8" s="2">
        <v>-4.2592400000000002E-2</v>
      </c>
      <c r="C8" s="2">
        <f t="shared" si="0"/>
        <v>0.95830191433306067</v>
      </c>
      <c r="D8" s="2">
        <v>3.03509E-2</v>
      </c>
      <c r="E8" s="2">
        <v>-1.403</v>
      </c>
      <c r="F8" s="2">
        <v>0.16067999999999999</v>
      </c>
    </row>
    <row r="9" spans="1:8">
      <c r="A9" s="2" t="s">
        <v>30</v>
      </c>
      <c r="B9" s="2">
        <v>5.0958999999999997E-2</v>
      </c>
      <c r="C9" s="2">
        <f t="shared" si="0"/>
        <v>1.0522797489290445</v>
      </c>
      <c r="D9" s="2">
        <v>1.86588E-2</v>
      </c>
      <c r="E9" s="6">
        <v>2.7309999999999999</v>
      </c>
      <c r="F9" s="2">
        <v>6.3699999999999998E-3</v>
      </c>
      <c r="G9" s="2" t="s">
        <v>111</v>
      </c>
      <c r="H9" s="2" t="str">
        <f>IF(C9&gt;1, "Y", "N")</f>
        <v>Y</v>
      </c>
    </row>
    <row r="10" spans="1:8">
      <c r="A10" s="2" t="s">
        <v>34</v>
      </c>
      <c r="B10" s="2">
        <v>-3.4046899999999998E-2</v>
      </c>
      <c r="C10" s="2">
        <f t="shared" si="0"/>
        <v>0.96652617349696268</v>
      </c>
      <c r="D10" s="2">
        <v>2.5662500000000001E-2</v>
      </c>
      <c r="E10" s="2">
        <v>-1.327</v>
      </c>
      <c r="F10" s="2">
        <v>0.18476000000000001</v>
      </c>
    </row>
    <row r="11" spans="1:8">
      <c r="A11" s="2" t="s">
        <v>35</v>
      </c>
      <c r="B11" s="2">
        <v>5.1222900000000002E-2</v>
      </c>
      <c r="C11" s="2">
        <f t="shared" si="0"/>
        <v>1.0525574822000803</v>
      </c>
      <c r="D11" s="2">
        <v>0.25588630000000001</v>
      </c>
      <c r="E11" s="2">
        <v>0.2</v>
      </c>
      <c r="F11" s="2">
        <v>0.84136</v>
      </c>
    </row>
    <row r="12" spans="1:8">
      <c r="A12" s="2" t="s">
        <v>36</v>
      </c>
      <c r="B12" s="2">
        <v>4.9624500000000002E-2</v>
      </c>
      <c r="C12" s="2">
        <f t="shared" si="0"/>
        <v>1.0508764181848027</v>
      </c>
      <c r="D12" s="2">
        <v>0.1493342</v>
      </c>
      <c r="E12" s="2">
        <v>0.33200000000000002</v>
      </c>
      <c r="F12" s="2">
        <v>0.73970000000000002</v>
      </c>
    </row>
    <row r="13" spans="1:8">
      <c r="A13" s="2" t="s">
        <v>37</v>
      </c>
      <c r="B13" s="2">
        <v>7.8949699999999998E-2</v>
      </c>
      <c r="C13" s="2">
        <f t="shared" si="0"/>
        <v>1.0821498885619287</v>
      </c>
      <c r="D13" s="2">
        <v>5.0337800000000002E-2</v>
      </c>
      <c r="E13" s="2">
        <v>1.5680000000000001</v>
      </c>
      <c r="F13" s="2">
        <v>0.11695999999999999</v>
      </c>
    </row>
    <row r="14" spans="1:8">
      <c r="A14" s="2" t="s">
        <v>39</v>
      </c>
      <c r="B14" s="2">
        <v>5.9222900000000002E-2</v>
      </c>
      <c r="C14" s="2">
        <f t="shared" si="0"/>
        <v>1.0610117138952742</v>
      </c>
      <c r="D14" s="2">
        <v>7.4754500000000002E-2</v>
      </c>
      <c r="E14" s="2">
        <v>0.79200000000000004</v>
      </c>
      <c r="F14" s="2">
        <v>0.42832999999999999</v>
      </c>
    </row>
    <row r="15" spans="1:8">
      <c r="A15" s="2" t="s">
        <v>40</v>
      </c>
      <c r="B15" s="2">
        <v>3.9427000000000004E-3</v>
      </c>
      <c r="C15" s="2">
        <f t="shared" si="0"/>
        <v>1.0039504826665233</v>
      </c>
      <c r="D15" s="2">
        <v>5.9279699999999998E-2</v>
      </c>
      <c r="E15" s="2">
        <v>6.7000000000000004E-2</v>
      </c>
      <c r="F15" s="2">
        <v>0.94698000000000004</v>
      </c>
    </row>
    <row r="16" spans="1:8">
      <c r="A16" s="2" t="s">
        <v>41</v>
      </c>
      <c r="B16" s="2">
        <v>4.7468799999999998E-2</v>
      </c>
      <c r="C16" s="2">
        <f t="shared" si="0"/>
        <v>1.0486134838702019</v>
      </c>
      <c r="D16" s="2">
        <v>2.9814799999999999E-2</v>
      </c>
      <c r="E16" s="2">
        <v>1.5920000000000001</v>
      </c>
      <c r="F16" s="2">
        <v>0.11153</v>
      </c>
    </row>
    <row r="17" spans="1:8">
      <c r="A17" s="2" t="s">
        <v>42</v>
      </c>
      <c r="B17" s="2">
        <v>7.2640999999999999E-3</v>
      </c>
      <c r="C17" s="2">
        <f t="shared" si="0"/>
        <v>1.0072905475748968</v>
      </c>
      <c r="D17" s="2">
        <v>8.0454300000000006E-2</v>
      </c>
      <c r="E17" s="2">
        <v>0.09</v>
      </c>
      <c r="F17" s="2">
        <v>0.92806999999999995</v>
      </c>
    </row>
    <row r="18" spans="1:8">
      <c r="A18" s="2" t="s">
        <v>43</v>
      </c>
      <c r="B18" s="2">
        <v>-1.6574599999999998E-2</v>
      </c>
      <c r="C18" s="2">
        <f t="shared" si="0"/>
        <v>0.98356200292834595</v>
      </c>
      <c r="D18" s="2">
        <v>4.5983900000000001E-2</v>
      </c>
      <c r="E18" s="2">
        <v>-0.36</v>
      </c>
      <c r="F18" s="2">
        <v>0.71855999999999998</v>
      </c>
    </row>
    <row r="19" spans="1:8">
      <c r="A19" s="2" t="s">
        <v>44</v>
      </c>
      <c r="B19" s="2">
        <v>-0.1155065</v>
      </c>
      <c r="C19" s="2">
        <f t="shared" si="0"/>
        <v>0.89091478127217927</v>
      </c>
      <c r="D19" s="2">
        <v>8.0503500000000006E-2</v>
      </c>
      <c r="E19" s="2">
        <v>-1.4350000000000001</v>
      </c>
      <c r="F19" s="2">
        <v>0.15151000000000001</v>
      </c>
    </row>
    <row r="20" spans="1:8">
      <c r="A20" s="2" t="s">
        <v>45</v>
      </c>
      <c r="B20" s="2">
        <v>7.6059000000000002E-2</v>
      </c>
      <c r="C20" s="2">
        <f t="shared" si="0"/>
        <v>1.0790262348271304</v>
      </c>
      <c r="D20" s="2">
        <v>0.12979889999999999</v>
      </c>
      <c r="E20" s="2">
        <v>0.58599999999999997</v>
      </c>
      <c r="F20" s="2">
        <v>0.55796000000000001</v>
      </c>
    </row>
    <row r="21" spans="1:8">
      <c r="A21" s="2" t="s">
        <v>46</v>
      </c>
      <c r="B21" s="2">
        <v>7.4832999999999997E-2</v>
      </c>
      <c r="C21" s="2">
        <f t="shared" si="0"/>
        <v>1.0777041592611527</v>
      </c>
      <c r="D21" s="2">
        <v>3.25359E-2</v>
      </c>
      <c r="E21" s="6">
        <v>2.2999999999999998</v>
      </c>
      <c r="F21" s="2">
        <v>2.1559999999999999E-2</v>
      </c>
      <c r="G21" s="2" t="s">
        <v>112</v>
      </c>
      <c r="H21" s="2" t="str">
        <f>IF(C21&gt;1, "Y", "N")</f>
        <v>Y</v>
      </c>
    </row>
    <row r="22" spans="1:8">
      <c r="A22" s="2" t="s">
        <v>47</v>
      </c>
      <c r="B22" s="2">
        <v>6.7552200000000007E-2</v>
      </c>
      <c r="C22" s="2">
        <f t="shared" si="0"/>
        <v>1.0698861061950367</v>
      </c>
      <c r="D22" s="2">
        <v>3.8790499999999999E-2</v>
      </c>
      <c r="E22" s="2">
        <v>1.7410000000000001</v>
      </c>
      <c r="F22" s="2">
        <v>8.1769999999999995E-2</v>
      </c>
      <c r="G22" s="2" t="s">
        <v>110</v>
      </c>
    </row>
    <row r="23" spans="1:8">
      <c r="A23" s="11" t="s">
        <v>48</v>
      </c>
      <c r="B23" s="2">
        <v>0.75197429999999998</v>
      </c>
      <c r="C23" s="2">
        <f t="shared" si="0"/>
        <v>2.1211837383474199</v>
      </c>
      <c r="D23" s="2">
        <v>0.25840839999999998</v>
      </c>
      <c r="E23" s="6">
        <v>2.91</v>
      </c>
      <c r="F23" s="2">
        <v>3.6600000000000001E-3</v>
      </c>
      <c r="G23" s="2" t="s">
        <v>111</v>
      </c>
      <c r="H23" s="2" t="str">
        <f>IF(C23&gt;1, "Y", "N")</f>
        <v>Y</v>
      </c>
    </row>
    <row r="24" spans="1:8">
      <c r="A24" s="2" t="s">
        <v>49</v>
      </c>
      <c r="B24" s="2">
        <v>0.10116989999999999</v>
      </c>
      <c r="C24" s="2">
        <f t="shared" si="0"/>
        <v>1.1064646141326597</v>
      </c>
      <c r="D24" s="2">
        <v>0.1068365</v>
      </c>
      <c r="E24" s="2">
        <v>0.94699999999999995</v>
      </c>
      <c r="F24" s="2">
        <v>0.34377999999999997</v>
      </c>
    </row>
    <row r="25" spans="1:8">
      <c r="A25" s="2" t="s">
        <v>50</v>
      </c>
      <c r="B25" s="2">
        <v>2.1484799999999998E-2</v>
      </c>
      <c r="C25" s="2">
        <f t="shared" si="0"/>
        <v>1.0217172601169988</v>
      </c>
      <c r="D25" s="2">
        <v>0.1067347</v>
      </c>
      <c r="E25" s="2">
        <v>0.20100000000000001</v>
      </c>
      <c r="F25" s="2">
        <v>0.84048999999999996</v>
      </c>
    </row>
    <row r="26" spans="1:8">
      <c r="A26" s="2" t="s">
        <v>51</v>
      </c>
      <c r="B26" s="2">
        <v>5.0695799999999999E-2</v>
      </c>
      <c r="C26" s="2">
        <f t="shared" si="0"/>
        <v>1.0520028253438689</v>
      </c>
      <c r="D26" s="2">
        <v>8.8479299999999997E-2</v>
      </c>
      <c r="E26" s="2">
        <v>0.57299999999999995</v>
      </c>
      <c r="F26" s="2">
        <v>0.56674000000000002</v>
      </c>
    </row>
    <row r="27" spans="1:8">
      <c r="A27" s="2" t="s">
        <v>52</v>
      </c>
      <c r="B27" s="2">
        <v>-3.04339E-2</v>
      </c>
      <c r="C27" s="2">
        <f t="shared" si="0"/>
        <v>0.97002454857079723</v>
      </c>
      <c r="D27" s="2">
        <v>4.3800600000000002E-2</v>
      </c>
      <c r="E27" s="2">
        <v>-0.69499999999999995</v>
      </c>
      <c r="F27" s="2">
        <v>0.48725000000000002</v>
      </c>
    </row>
    <row r="28" spans="1:8">
      <c r="A28" s="2" t="s">
        <v>53</v>
      </c>
      <c r="B28" s="2">
        <v>0.11659170000000001</v>
      </c>
      <c r="C28" s="2">
        <f t="shared" si="0"/>
        <v>1.1236605454149942</v>
      </c>
      <c r="D28" s="2">
        <v>4.2163199999999998E-2</v>
      </c>
      <c r="E28" s="6">
        <v>2.7650000000000001</v>
      </c>
      <c r="F28" s="2">
        <v>5.7400000000000003E-3</v>
      </c>
      <c r="G28" s="2" t="s">
        <v>111</v>
      </c>
      <c r="H28" s="2" t="str">
        <f>IF(C28&gt;1, "Y", "N")</f>
        <v>Y</v>
      </c>
    </row>
    <row r="29" spans="1:8">
      <c r="A29" s="2" t="s">
        <v>54</v>
      </c>
      <c r="B29" s="2">
        <v>-2.15103E-2</v>
      </c>
      <c r="C29" s="2">
        <f t="shared" si="0"/>
        <v>0.97871939660744622</v>
      </c>
      <c r="D29" s="2">
        <v>9.9370100000000003E-2</v>
      </c>
      <c r="E29" s="2">
        <v>-0.216</v>
      </c>
      <c r="F29" s="2">
        <v>0.82865</v>
      </c>
    </row>
    <row r="30" spans="1:8">
      <c r="A30" s="2" t="s">
        <v>55</v>
      </c>
      <c r="B30" s="2">
        <v>0.1416086</v>
      </c>
      <c r="C30" s="2">
        <f>EXP(B30)</f>
        <v>1.1521256183091411</v>
      </c>
      <c r="D30" s="2">
        <v>6.1996500000000003E-2</v>
      </c>
      <c r="E30" s="6">
        <v>2.2839999999999998</v>
      </c>
      <c r="F30" s="2">
        <v>2.248E-2</v>
      </c>
      <c r="G30" s="2" t="s">
        <v>112</v>
      </c>
      <c r="H30" s="2" t="str">
        <f>IF(C30&gt;1, "Y", "N")</f>
        <v>Y</v>
      </c>
    </row>
    <row r="31" spans="1:8">
      <c r="A31" s="2" t="s">
        <v>56</v>
      </c>
      <c r="B31" s="2">
        <v>6.2376899999999999E-2</v>
      </c>
      <c r="C31" s="2">
        <f t="shared" si="0"/>
        <v>1.0643634277151026</v>
      </c>
      <c r="D31" s="2">
        <v>4.9247199999999998E-2</v>
      </c>
      <c r="E31" s="2">
        <v>1.2669999999999999</v>
      </c>
      <c r="F31" s="2">
        <v>0.20544999999999999</v>
      </c>
    </row>
    <row r="32" spans="1:8">
      <c r="A32" s="2" t="s">
        <v>57</v>
      </c>
      <c r="B32" s="2">
        <v>-1.2099800000000001E-2</v>
      </c>
      <c r="C32" s="2">
        <f t="shared" si="0"/>
        <v>0.98797310822544016</v>
      </c>
      <c r="D32" s="2">
        <v>3.7536E-2</v>
      </c>
      <c r="E32" s="2">
        <v>-0.32200000000000001</v>
      </c>
      <c r="F32" s="2">
        <v>0.74722</v>
      </c>
    </row>
    <row r="33" spans="1:8">
      <c r="A33" s="2" t="s">
        <v>58</v>
      </c>
      <c r="B33" s="2">
        <v>4.9294499999999998E-2</v>
      </c>
      <c r="C33" s="2">
        <f t="shared" si="0"/>
        <v>1.0505296861807289</v>
      </c>
      <c r="D33" s="2">
        <v>4.22663E-2</v>
      </c>
      <c r="E33" s="2">
        <v>1.1659999999999999</v>
      </c>
      <c r="F33" s="2">
        <v>0.24365000000000001</v>
      </c>
    </row>
    <row r="34" spans="1:8">
      <c r="A34" s="2" t="s">
        <v>59</v>
      </c>
      <c r="B34" s="2">
        <v>3.5468600000000003E-2</v>
      </c>
      <c r="C34" s="2">
        <f t="shared" si="0"/>
        <v>1.0361051139167035</v>
      </c>
      <c r="D34" s="2">
        <v>0.11684170000000001</v>
      </c>
      <c r="E34" s="2">
        <v>0.30399999999999999</v>
      </c>
      <c r="F34" s="2">
        <v>0.76149999999999995</v>
      </c>
    </row>
    <row r="35" spans="1:8">
      <c r="A35" s="2" t="s">
        <v>60</v>
      </c>
      <c r="B35" s="2">
        <v>6.2374199999999998E-2</v>
      </c>
      <c r="C35" s="2">
        <f t="shared" si="0"/>
        <v>1.0643605539377274</v>
      </c>
      <c r="D35" s="2">
        <v>3.5738699999999998E-2</v>
      </c>
      <c r="E35" s="2">
        <v>1.7450000000000001</v>
      </c>
      <c r="F35" s="2">
        <v>8.1100000000000005E-2</v>
      </c>
      <c r="G35" s="2" t="s">
        <v>110</v>
      </c>
    </row>
    <row r="36" spans="1:8">
      <c r="A36" s="2" t="s">
        <v>61</v>
      </c>
      <c r="B36" s="2">
        <v>-2.5820699999999999E-2</v>
      </c>
      <c r="C36" s="2">
        <f t="shared" si="0"/>
        <v>0.97450980355295325</v>
      </c>
      <c r="D36" s="2">
        <v>6.3125000000000001E-2</v>
      </c>
      <c r="E36" s="2">
        <v>-0.40899999999999997</v>
      </c>
      <c r="F36" s="2">
        <v>0.68255999999999994</v>
      </c>
    </row>
    <row r="37" spans="1:8">
      <c r="A37" s="2" t="s">
        <v>62</v>
      </c>
      <c r="B37" s="2">
        <v>2.8199599999999998E-2</v>
      </c>
      <c r="C37" s="2">
        <f t="shared" si="0"/>
        <v>1.028600972687123</v>
      </c>
      <c r="D37" s="2">
        <v>5.2419500000000001E-2</v>
      </c>
      <c r="E37" s="2">
        <v>0.53800000000000003</v>
      </c>
      <c r="F37" s="2">
        <v>0.59067000000000003</v>
      </c>
    </row>
    <row r="38" spans="1:8">
      <c r="A38" s="2" t="s">
        <v>63</v>
      </c>
      <c r="B38" s="2">
        <v>6.7075599999999999E-2</v>
      </c>
      <c r="C38" s="2">
        <f t="shared" si="0"/>
        <v>1.0693763199685316</v>
      </c>
      <c r="D38" s="2">
        <v>8.4168300000000001E-2</v>
      </c>
      <c r="E38" s="2">
        <v>0.79700000000000004</v>
      </c>
      <c r="F38" s="2">
        <v>0.42559999999999998</v>
      </c>
    </row>
    <row r="39" spans="1:8">
      <c r="A39" s="2" t="s">
        <v>64</v>
      </c>
      <c r="B39" s="2">
        <v>6.4781400000000003E-2</v>
      </c>
      <c r="C39" s="2">
        <f t="shared" si="0"/>
        <v>1.0669257689172136</v>
      </c>
      <c r="D39" s="2">
        <v>0.106652</v>
      </c>
      <c r="E39" s="2">
        <v>0.60699999999999998</v>
      </c>
      <c r="F39" s="2">
        <v>0.54364999999999997</v>
      </c>
    </row>
    <row r="40" spans="1:8">
      <c r="A40" s="2" t="s">
        <v>65</v>
      </c>
      <c r="B40" s="2">
        <v>1.49306E-2</v>
      </c>
      <c r="C40" s="2">
        <f t="shared" si="0"/>
        <v>1.015042618213553</v>
      </c>
      <c r="D40" s="2">
        <v>3.9317699999999997E-2</v>
      </c>
      <c r="E40" s="2">
        <v>0.38</v>
      </c>
      <c r="F40" s="2">
        <v>0.70418000000000003</v>
      </c>
    </row>
    <row r="41" spans="1:8">
      <c r="A41" s="2" t="s">
        <v>66</v>
      </c>
      <c r="B41" s="2">
        <v>1.1842E-2</v>
      </c>
      <c r="C41" s="2">
        <f t="shared" si="0"/>
        <v>1.0119123940764578</v>
      </c>
      <c r="D41" s="2">
        <v>0.1166194</v>
      </c>
      <c r="E41" s="2">
        <v>0.10199999999999999</v>
      </c>
      <c r="F41" s="2">
        <v>0.91913</v>
      </c>
    </row>
    <row r="42" spans="1:8">
      <c r="A42" s="2" t="s">
        <v>67</v>
      </c>
      <c r="B42" s="2">
        <v>2.0381099999999999E-2</v>
      </c>
      <c r="C42" s="2">
        <f t="shared" si="0"/>
        <v>1.0205902128524504</v>
      </c>
      <c r="D42" s="2">
        <v>6.80061E-2</v>
      </c>
      <c r="E42" s="2">
        <v>0.3</v>
      </c>
      <c r="F42" s="2">
        <v>0.76444000000000001</v>
      </c>
    </row>
    <row r="43" spans="1:8">
      <c r="A43" s="2" t="s">
        <v>68</v>
      </c>
      <c r="B43" s="2">
        <v>0.1417976</v>
      </c>
      <c r="C43" s="2">
        <f t="shared" si="0"/>
        <v>1.1523433906298377</v>
      </c>
      <c r="D43" s="2">
        <v>6.9958699999999999E-2</v>
      </c>
      <c r="E43" s="6">
        <v>2.0270000000000001</v>
      </c>
      <c r="F43" s="2">
        <v>4.2819999999999997E-2</v>
      </c>
      <c r="G43" s="2" t="s">
        <v>112</v>
      </c>
      <c r="H43" s="2" t="str">
        <f>IF(C43&gt;1, "Y", "N")</f>
        <v>Y</v>
      </c>
    </row>
    <row r="44" spans="1:8">
      <c r="A44" s="2" t="s">
        <v>69</v>
      </c>
      <c r="B44" s="2">
        <v>6.8868200000000004E-2</v>
      </c>
      <c r="C44" s="2">
        <f t="shared" si="0"/>
        <v>1.0712950031616595</v>
      </c>
      <c r="D44" s="2">
        <v>3.9572999999999997E-2</v>
      </c>
      <c r="E44" s="2">
        <v>1.74</v>
      </c>
      <c r="F44" s="2">
        <v>8.1970000000000001E-2</v>
      </c>
      <c r="G44" s="2" t="s">
        <v>110</v>
      </c>
    </row>
    <row r="45" spans="1:8">
      <c r="A45" s="2" t="s">
        <v>70</v>
      </c>
      <c r="B45" s="2">
        <v>-1.6981099999999999E-2</v>
      </c>
      <c r="C45" s="2">
        <f t="shared" si="0"/>
        <v>0.98316226622614467</v>
      </c>
      <c r="D45" s="2">
        <v>0.10670549999999999</v>
      </c>
      <c r="E45" s="2">
        <v>-0.159</v>
      </c>
      <c r="F45" s="2">
        <v>0.87358000000000002</v>
      </c>
    </row>
    <row r="46" spans="1:8">
      <c r="A46" s="2" t="s">
        <v>71</v>
      </c>
      <c r="B46" s="2">
        <v>5.0563200000000003E-2</v>
      </c>
      <c r="C46" s="2">
        <f>EXP(B46)</f>
        <v>1.0518633390173762</v>
      </c>
      <c r="D46" s="2">
        <v>6.17078E-2</v>
      </c>
      <c r="E46" s="2">
        <v>0.81899999999999995</v>
      </c>
      <c r="F46" s="2">
        <v>0.41266999999999998</v>
      </c>
    </row>
    <row r="47" spans="1:8">
      <c r="A47" s="2" t="s">
        <v>72</v>
      </c>
      <c r="B47" s="2">
        <v>3.7609900000000002E-2</v>
      </c>
      <c r="C47" s="2">
        <f t="shared" si="0"/>
        <v>1.0383261028503015</v>
      </c>
      <c r="D47" s="2">
        <v>3.6584899999999997E-2</v>
      </c>
      <c r="E47" s="2">
        <v>1.028</v>
      </c>
      <c r="F47" s="2">
        <v>0.30408000000000002</v>
      </c>
    </row>
    <row r="48" spans="1:8">
      <c r="A48" s="2" t="s">
        <v>73</v>
      </c>
      <c r="B48" s="2">
        <v>1.7821900000000002E-2</v>
      </c>
      <c r="C48" s="2">
        <f t="shared" si="0"/>
        <v>1.0179816577106064</v>
      </c>
      <c r="D48" s="2">
        <v>7.7470999999999998E-2</v>
      </c>
      <c r="E48" s="2">
        <v>0.23</v>
      </c>
      <c r="F48" s="2">
        <v>0.81808000000000003</v>
      </c>
    </row>
    <row r="49" spans="1:8">
      <c r="A49" s="2" t="s">
        <v>74</v>
      </c>
      <c r="B49" s="2">
        <v>-2.1401E-2</v>
      </c>
      <c r="C49" s="2">
        <f t="shared" si="0"/>
        <v>0.97882637648383908</v>
      </c>
      <c r="D49" s="2">
        <v>8.0594799999999994E-2</v>
      </c>
      <c r="E49" s="2">
        <v>-0.26600000000000001</v>
      </c>
      <c r="F49" s="2">
        <v>0.79061999999999999</v>
      </c>
    </row>
    <row r="50" spans="1:8">
      <c r="A50" s="2" t="s">
        <v>75</v>
      </c>
      <c r="B50" s="2">
        <v>7.1929800000000002E-2</v>
      </c>
      <c r="C50" s="2">
        <f t="shared" si="0"/>
        <v>1.0745799059065706</v>
      </c>
      <c r="D50" s="2">
        <v>3.4475899999999997E-2</v>
      </c>
      <c r="E50" s="6">
        <v>2.0859999999999999</v>
      </c>
      <c r="F50" s="2">
        <v>3.7080000000000002E-2</v>
      </c>
      <c r="G50" s="2" t="s">
        <v>112</v>
      </c>
      <c r="H50" s="2" t="str">
        <f>IF(C50&gt;1, "Y", "N")</f>
        <v>Y</v>
      </c>
    </row>
    <row r="51" spans="1:8">
      <c r="A51" s="2" t="s">
        <v>76</v>
      </c>
      <c r="B51" s="2">
        <v>3.2834599999999999E-2</v>
      </c>
      <c r="C51" s="2">
        <f t="shared" si="0"/>
        <v>1.0333796041188392</v>
      </c>
      <c r="D51" s="2">
        <v>0.1822811</v>
      </c>
      <c r="E51" s="2">
        <v>0.18</v>
      </c>
      <c r="F51" s="2">
        <v>0.85707</v>
      </c>
    </row>
    <row r="52" spans="1:8">
      <c r="A52" s="2" t="s">
        <v>77</v>
      </c>
      <c r="B52" s="2">
        <v>1.21844E-2</v>
      </c>
      <c r="C52" s="2">
        <f t="shared" si="0"/>
        <v>1.0122589322041315</v>
      </c>
      <c r="D52" s="2">
        <v>8.8227799999999995E-2</v>
      </c>
      <c r="E52" s="2">
        <v>0.13800000000000001</v>
      </c>
      <c r="F52" s="2">
        <v>0.89017999999999997</v>
      </c>
    </row>
    <row r="53" spans="1:8">
      <c r="A53" s="2" t="s">
        <v>78</v>
      </c>
      <c r="B53" s="2">
        <v>5.32872E-2</v>
      </c>
      <c r="C53" s="2">
        <f t="shared" si="0"/>
        <v>1.0547325208043006</v>
      </c>
      <c r="D53" s="2">
        <v>4.5213799999999998E-2</v>
      </c>
      <c r="E53" s="2">
        <v>1.179</v>
      </c>
      <c r="F53" s="2">
        <v>0.23871999999999999</v>
      </c>
    </row>
    <row r="54" spans="1:8">
      <c r="A54" s="11" t="s">
        <v>79</v>
      </c>
      <c r="B54" s="2">
        <v>-0.63512049999999998</v>
      </c>
      <c r="C54" s="2">
        <f t="shared" si="0"/>
        <v>0.52987163493846956</v>
      </c>
      <c r="D54" s="2">
        <v>0.2559456</v>
      </c>
      <c r="E54" s="6">
        <v>-2.4809999999999999</v>
      </c>
      <c r="F54" s="2">
        <v>1.3169999999999999E-2</v>
      </c>
      <c r="G54" s="2" t="s">
        <v>112</v>
      </c>
      <c r="H54" s="2" t="str">
        <f t="shared" ref="H54:H55" si="2">IF(C54&gt;1, "Y", "N")</f>
        <v>N</v>
      </c>
    </row>
    <row r="55" spans="1:8">
      <c r="A55" s="2" t="s">
        <v>80</v>
      </c>
      <c r="B55" s="2">
        <v>0.105722</v>
      </c>
      <c r="C55" s="2">
        <f t="shared" si="0"/>
        <v>1.1115128329839019</v>
      </c>
      <c r="D55" s="2">
        <v>5.1868200000000003E-2</v>
      </c>
      <c r="E55" s="6">
        <v>2.0379999999999998</v>
      </c>
      <c r="F55" s="2">
        <v>4.1660000000000003E-2</v>
      </c>
      <c r="G55" s="2" t="s">
        <v>112</v>
      </c>
      <c r="H55" s="2" t="str">
        <f t="shared" si="2"/>
        <v>Y</v>
      </c>
    </row>
    <row r="56" spans="1:8">
      <c r="A56" s="2" t="s">
        <v>81</v>
      </c>
      <c r="B56" s="2">
        <v>4.5351200000000001E-2</v>
      </c>
      <c r="C56" s="2">
        <f t="shared" si="0"/>
        <v>1.0463952894099606</v>
      </c>
      <c r="D56" s="2">
        <v>3.0566200000000002E-2</v>
      </c>
      <c r="E56" s="2">
        <v>1.484</v>
      </c>
      <c r="F56" s="2">
        <v>0.13805999999999999</v>
      </c>
    </row>
    <row r="57" spans="1:8">
      <c r="A57" s="2" t="s">
        <v>82</v>
      </c>
      <c r="B57" s="2">
        <v>2.9313200000000001E-2</v>
      </c>
      <c r="C57" s="2">
        <f t="shared" si="0"/>
        <v>1.0297470607537036</v>
      </c>
      <c r="D57" s="2">
        <v>7.7428499999999997E-2</v>
      </c>
      <c r="E57" s="2">
        <v>0.379</v>
      </c>
      <c r="F57" s="2">
        <v>0.70504</v>
      </c>
    </row>
    <row r="58" spans="1:8">
      <c r="A58" s="2" t="s">
        <v>83</v>
      </c>
      <c r="B58" s="2">
        <v>4.2447499999999999E-2</v>
      </c>
      <c r="C58" s="2">
        <f t="shared" si="0"/>
        <v>1.043361278468651</v>
      </c>
      <c r="D58" s="2">
        <v>4.2125700000000002E-2</v>
      </c>
      <c r="E58" s="2">
        <v>1.008</v>
      </c>
      <c r="F58" s="2">
        <v>0.31375999999999998</v>
      </c>
    </row>
    <row r="59" spans="1:8">
      <c r="A59" s="2" t="s">
        <v>85</v>
      </c>
      <c r="B59" s="2">
        <v>7.4069899999999994E-2</v>
      </c>
      <c r="C59" s="2">
        <f t="shared" si="0"/>
        <v>1.0768820769226297</v>
      </c>
      <c r="D59" s="2">
        <v>0.18169959999999999</v>
      </c>
      <c r="E59" s="2">
        <v>0.40799999999999997</v>
      </c>
      <c r="F59" s="2">
        <v>0.68357999999999997</v>
      </c>
    </row>
    <row r="60" spans="1:8">
      <c r="A60" s="2" t="s">
        <v>86</v>
      </c>
      <c r="B60" s="2">
        <v>-1.3471500000000001E-2</v>
      </c>
      <c r="C60" s="2">
        <f t="shared" si="0"/>
        <v>0.9866188345538307</v>
      </c>
      <c r="D60" s="2">
        <v>6.48725E-2</v>
      </c>
      <c r="E60" s="2">
        <v>-0.20799999999999999</v>
      </c>
      <c r="F60" s="2">
        <v>0.83552000000000004</v>
      </c>
    </row>
    <row r="61" spans="1:8">
      <c r="A61" s="2" t="s">
        <v>87</v>
      </c>
      <c r="B61" s="2">
        <v>-0.15293399999999999</v>
      </c>
      <c r="C61" s="2">
        <f t="shared" si="0"/>
        <v>0.85818636024208106</v>
      </c>
      <c r="D61" s="2">
        <v>7.4621599999999996E-2</v>
      </c>
      <c r="E61" s="6">
        <v>-2.0489999999999999</v>
      </c>
      <c r="F61" s="2">
        <v>4.0559999999999999E-2</v>
      </c>
      <c r="G61" s="2" t="s">
        <v>112</v>
      </c>
      <c r="H61" s="2" t="str">
        <f>IF(C61&gt;1, "Y", "N")</f>
        <v>N</v>
      </c>
    </row>
    <row r="62" spans="1:8">
      <c r="A62" s="2" t="s">
        <v>88</v>
      </c>
      <c r="B62" s="2">
        <v>1.19334E-2</v>
      </c>
      <c r="C62" s="2">
        <f t="shared" si="0"/>
        <v>1.0120048870961431</v>
      </c>
      <c r="D62" s="2">
        <v>7.0299399999999998E-2</v>
      </c>
      <c r="E62" s="2">
        <v>0.17</v>
      </c>
      <c r="F62" s="2">
        <v>0.86521999999999999</v>
      </c>
    </row>
    <row r="63" spans="1:8">
      <c r="A63" s="2" t="s">
        <v>93</v>
      </c>
      <c r="B63" s="2">
        <v>3.8117953999999998</v>
      </c>
      <c r="C63" s="2">
        <f t="shared" si="0"/>
        <v>45.231574778172501</v>
      </c>
      <c r="D63" s="2">
        <v>2.53683E-2</v>
      </c>
      <c r="E63" s="2">
        <v>150.25800000000001</v>
      </c>
      <c r="F63" s="2" t="s">
        <v>102</v>
      </c>
      <c r="G63" s="2" t="s">
        <v>103</v>
      </c>
      <c r="H63" s="2" t="str">
        <f>IF(C63&gt;1, "Y", "N")</f>
        <v>Y</v>
      </c>
    </row>
  </sheetData>
  <autoFilter ref="A1:H63" xr:uid="{415798EA-3C59-3A42-9866-9DF104DA5C79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3E1D-6DB5-8D45-9F1B-39EA21698C27}">
  <dimension ref="A1:O98"/>
  <sheetViews>
    <sheetView workbookViewId="0">
      <pane xSplit="1" topLeftCell="G1" activePane="topRight" state="frozen"/>
      <selection pane="topRight" activeCell="O13" sqref="O13"/>
    </sheetView>
  </sheetViews>
  <sheetFormatPr baseColWidth="10" defaultRowHeight="15"/>
  <cols>
    <col min="1" max="1" width="47.5" style="2" customWidth="1"/>
    <col min="2" max="9" width="16.1640625" customWidth="1"/>
    <col min="12" max="12" width="19.1640625" customWidth="1"/>
    <col min="13" max="13" width="15.1640625" customWidth="1"/>
    <col min="14" max="14" width="14.83203125" customWidth="1"/>
    <col min="15" max="15" width="61.1640625" customWidth="1"/>
  </cols>
  <sheetData>
    <row r="1" spans="1:15">
      <c r="A1" s="9" t="s">
        <v>1</v>
      </c>
      <c r="B1" s="20" t="s">
        <v>135</v>
      </c>
      <c r="C1" s="20" t="s">
        <v>141</v>
      </c>
      <c r="D1" s="20" t="s">
        <v>136</v>
      </c>
      <c r="E1" s="24" t="s">
        <v>143</v>
      </c>
      <c r="F1" s="22" t="s">
        <v>137</v>
      </c>
      <c r="G1" s="22" t="s">
        <v>138</v>
      </c>
      <c r="H1" s="22" t="s">
        <v>139</v>
      </c>
      <c r="I1" s="22" t="s">
        <v>140</v>
      </c>
      <c r="J1" s="26" t="s">
        <v>144</v>
      </c>
      <c r="K1" s="28" t="s">
        <v>145</v>
      </c>
      <c r="L1" s="41" t="s">
        <v>274</v>
      </c>
      <c r="M1" s="41" t="s">
        <v>271</v>
      </c>
      <c r="N1" s="41" t="s">
        <v>275</v>
      </c>
      <c r="O1" s="33" t="s">
        <v>146</v>
      </c>
    </row>
    <row r="2" spans="1:15">
      <c r="A2" s="6" t="s">
        <v>31</v>
      </c>
      <c r="B2" s="21">
        <v>1</v>
      </c>
      <c r="C2" s="21">
        <v>1</v>
      </c>
      <c r="D2" s="21">
        <v>1</v>
      </c>
      <c r="E2" s="31">
        <f t="shared" ref="E2:E33" si="0">SUMIF(B2:D2,"&lt;&gt;#N/A")</f>
        <v>3</v>
      </c>
      <c r="F2" s="23" t="e">
        <v>#N/A</v>
      </c>
      <c r="G2" s="23">
        <v>1</v>
      </c>
      <c r="H2" s="23" t="e">
        <v>#N/A</v>
      </c>
      <c r="I2" s="23" t="e">
        <v>#N/A</v>
      </c>
      <c r="J2" s="29">
        <f t="shared" ref="J2:J33" si="1">SUMIF(F2:I2,"&lt;&gt;#N/A")</f>
        <v>1</v>
      </c>
      <c r="K2" s="30">
        <f t="shared" ref="K2:K33" si="2">SUM(E2,J2)</f>
        <v>4</v>
      </c>
      <c r="L2" s="39"/>
      <c r="M2" s="39"/>
      <c r="N2" s="39"/>
      <c r="O2" s="34"/>
    </row>
    <row r="3" spans="1:15">
      <c r="A3" s="6" t="s">
        <v>94</v>
      </c>
      <c r="B3" s="21">
        <v>0</v>
      </c>
      <c r="C3" s="21">
        <v>0</v>
      </c>
      <c r="D3" s="21">
        <v>0</v>
      </c>
      <c r="E3" s="25">
        <f t="shared" si="0"/>
        <v>0</v>
      </c>
      <c r="F3" s="23">
        <v>1</v>
      </c>
      <c r="G3" s="23">
        <v>1</v>
      </c>
      <c r="H3" s="23">
        <v>1</v>
      </c>
      <c r="I3" s="23" t="e">
        <v>#N/A</v>
      </c>
      <c r="J3" s="32">
        <f t="shared" si="1"/>
        <v>3</v>
      </c>
      <c r="K3" s="30">
        <f t="shared" si="2"/>
        <v>3</v>
      </c>
      <c r="L3" s="39"/>
      <c r="M3" s="39"/>
      <c r="N3" s="39"/>
      <c r="O3" s="34"/>
    </row>
    <row r="4" spans="1:15">
      <c r="A4" s="6" t="s">
        <v>11</v>
      </c>
      <c r="B4" s="21">
        <v>1</v>
      </c>
      <c r="C4" s="21">
        <v>1</v>
      </c>
      <c r="D4" s="21">
        <v>1</v>
      </c>
      <c r="E4" s="31">
        <f t="shared" si="0"/>
        <v>3</v>
      </c>
      <c r="F4" s="23" t="e">
        <v>#N/A</v>
      </c>
      <c r="G4" s="23" t="e">
        <v>#N/A</v>
      </c>
      <c r="H4" s="23" t="e">
        <v>#N/A</v>
      </c>
      <c r="I4" s="23" t="e">
        <v>#N/A</v>
      </c>
      <c r="J4" s="29">
        <f t="shared" si="1"/>
        <v>0</v>
      </c>
      <c r="K4" s="30">
        <f t="shared" si="2"/>
        <v>3</v>
      </c>
      <c r="L4" s="39"/>
      <c r="M4" s="39"/>
      <c r="N4" s="39"/>
      <c r="O4" s="34"/>
    </row>
    <row r="5" spans="1:15">
      <c r="A5" s="6" t="s">
        <v>16</v>
      </c>
      <c r="B5" s="21">
        <v>1</v>
      </c>
      <c r="C5" s="21">
        <v>1</v>
      </c>
      <c r="D5" s="21">
        <v>1</v>
      </c>
      <c r="E5" s="31">
        <f t="shared" si="0"/>
        <v>3</v>
      </c>
      <c r="F5" s="23" t="e">
        <v>#N/A</v>
      </c>
      <c r="G5" s="23" t="e">
        <v>#N/A</v>
      </c>
      <c r="H5" s="23" t="e">
        <v>#N/A</v>
      </c>
      <c r="I5" s="23" t="e">
        <v>#N/A</v>
      </c>
      <c r="J5" s="29">
        <f t="shared" si="1"/>
        <v>0</v>
      </c>
      <c r="K5" s="30">
        <f t="shared" si="2"/>
        <v>3</v>
      </c>
      <c r="L5" s="39"/>
      <c r="M5" s="39"/>
      <c r="N5" s="39"/>
      <c r="O5" s="34"/>
    </row>
    <row r="6" spans="1:15">
      <c r="A6" s="6" t="s">
        <v>17</v>
      </c>
      <c r="B6" s="21">
        <v>1</v>
      </c>
      <c r="C6" s="21">
        <v>1</v>
      </c>
      <c r="D6" s="21">
        <v>1</v>
      </c>
      <c r="E6" s="31">
        <f t="shared" si="0"/>
        <v>3</v>
      </c>
      <c r="F6" s="23" t="e">
        <v>#N/A</v>
      </c>
      <c r="G6" s="23" t="e">
        <v>#N/A</v>
      </c>
      <c r="H6" s="23" t="e">
        <v>#N/A</v>
      </c>
      <c r="I6" s="23" t="e">
        <v>#N/A</v>
      </c>
      <c r="J6" s="29">
        <f t="shared" si="1"/>
        <v>0</v>
      </c>
      <c r="K6" s="30">
        <f t="shared" si="2"/>
        <v>3</v>
      </c>
      <c r="L6" s="39"/>
      <c r="M6" s="39"/>
      <c r="N6" s="39"/>
      <c r="O6" s="34"/>
    </row>
    <row r="7" spans="1:15">
      <c r="A7" s="6" t="s">
        <v>18</v>
      </c>
      <c r="B7" s="21">
        <v>0</v>
      </c>
      <c r="C7" s="21">
        <v>0</v>
      </c>
      <c r="D7" s="21">
        <v>0</v>
      </c>
      <c r="E7" s="25">
        <f t="shared" si="0"/>
        <v>0</v>
      </c>
      <c r="F7" s="23">
        <v>1</v>
      </c>
      <c r="G7" s="23">
        <v>1</v>
      </c>
      <c r="H7" s="23">
        <v>0</v>
      </c>
      <c r="I7" s="23" t="e">
        <v>#N/A</v>
      </c>
      <c r="J7" s="32">
        <f t="shared" si="1"/>
        <v>2</v>
      </c>
      <c r="K7" s="30">
        <f t="shared" si="2"/>
        <v>2</v>
      </c>
      <c r="L7" s="39"/>
      <c r="M7" s="39"/>
      <c r="N7" s="39"/>
      <c r="O7" s="34"/>
    </row>
    <row r="8" spans="1:15">
      <c r="A8" s="6" t="s">
        <v>20</v>
      </c>
      <c r="B8" s="21">
        <v>0</v>
      </c>
      <c r="C8" s="21">
        <v>0</v>
      </c>
      <c r="D8" s="21">
        <v>0</v>
      </c>
      <c r="E8" s="25">
        <f t="shared" si="0"/>
        <v>0</v>
      </c>
      <c r="F8" s="23">
        <v>0</v>
      </c>
      <c r="G8" s="23">
        <v>1</v>
      </c>
      <c r="H8" s="23">
        <v>0</v>
      </c>
      <c r="I8" s="23">
        <v>1</v>
      </c>
      <c r="J8" s="32">
        <f t="shared" si="1"/>
        <v>2</v>
      </c>
      <c r="K8" s="30">
        <f t="shared" si="2"/>
        <v>2</v>
      </c>
      <c r="L8" s="39"/>
      <c r="M8" s="39"/>
      <c r="N8" s="39"/>
      <c r="O8" s="34"/>
    </row>
    <row r="9" spans="1:15">
      <c r="A9" s="6" t="s">
        <v>24</v>
      </c>
      <c r="B9" s="21">
        <v>0</v>
      </c>
      <c r="C9" s="21">
        <v>0</v>
      </c>
      <c r="D9" s="21">
        <v>0</v>
      </c>
      <c r="E9" s="25">
        <f t="shared" si="0"/>
        <v>0</v>
      </c>
      <c r="F9" s="23" t="e">
        <v>#N/A</v>
      </c>
      <c r="G9" s="23">
        <v>0</v>
      </c>
      <c r="H9" s="23">
        <v>1</v>
      </c>
      <c r="I9" s="23">
        <v>1</v>
      </c>
      <c r="J9" s="32">
        <f t="shared" si="1"/>
        <v>2</v>
      </c>
      <c r="K9" s="30">
        <f t="shared" si="2"/>
        <v>2</v>
      </c>
      <c r="L9" s="39"/>
      <c r="M9" s="39"/>
      <c r="N9" s="39"/>
      <c r="O9" s="34"/>
    </row>
    <row r="10" spans="1:15">
      <c r="A10" s="6" t="s">
        <v>27</v>
      </c>
      <c r="B10" s="21">
        <v>0</v>
      </c>
      <c r="C10" s="21">
        <v>0</v>
      </c>
      <c r="D10" s="21">
        <v>0</v>
      </c>
      <c r="E10" s="25">
        <f t="shared" si="0"/>
        <v>0</v>
      </c>
      <c r="F10" s="23">
        <v>1</v>
      </c>
      <c r="G10" s="23">
        <v>1</v>
      </c>
      <c r="H10" s="23" t="e">
        <v>#N/A</v>
      </c>
      <c r="I10" s="23" t="e">
        <v>#N/A</v>
      </c>
      <c r="J10" s="32">
        <f t="shared" si="1"/>
        <v>2</v>
      </c>
      <c r="K10" s="30">
        <f t="shared" si="2"/>
        <v>2</v>
      </c>
      <c r="L10" s="39"/>
      <c r="M10" s="39"/>
      <c r="N10" s="39"/>
      <c r="O10" s="34"/>
    </row>
    <row r="11" spans="1:15">
      <c r="A11" s="6" t="s">
        <v>30</v>
      </c>
      <c r="B11" s="21">
        <v>0</v>
      </c>
      <c r="C11" s="21">
        <v>0</v>
      </c>
      <c r="D11" s="21">
        <v>0</v>
      </c>
      <c r="E11" s="25">
        <f t="shared" si="0"/>
        <v>0</v>
      </c>
      <c r="F11" s="23">
        <v>0</v>
      </c>
      <c r="G11" s="23">
        <v>1</v>
      </c>
      <c r="H11" s="23">
        <v>0</v>
      </c>
      <c r="I11" s="23">
        <v>1</v>
      </c>
      <c r="J11" s="32">
        <f t="shared" si="1"/>
        <v>2</v>
      </c>
      <c r="K11" s="30">
        <f t="shared" si="2"/>
        <v>2</v>
      </c>
      <c r="L11" s="39"/>
      <c r="M11" s="39"/>
      <c r="N11" s="39"/>
      <c r="O11" s="34"/>
    </row>
    <row r="12" spans="1:15">
      <c r="A12" s="6" t="s">
        <v>40</v>
      </c>
      <c r="B12" s="21">
        <v>0</v>
      </c>
      <c r="C12" s="21">
        <v>0</v>
      </c>
      <c r="D12" s="21">
        <v>1</v>
      </c>
      <c r="E12" s="31">
        <f t="shared" si="0"/>
        <v>1</v>
      </c>
      <c r="F12" s="23">
        <v>1</v>
      </c>
      <c r="G12" s="23">
        <v>0</v>
      </c>
      <c r="H12" s="23">
        <v>0</v>
      </c>
      <c r="I12" s="23">
        <v>0</v>
      </c>
      <c r="J12" s="29">
        <f t="shared" si="1"/>
        <v>1</v>
      </c>
      <c r="K12" s="30">
        <f t="shared" si="2"/>
        <v>2</v>
      </c>
      <c r="L12" s="53" t="s">
        <v>156</v>
      </c>
      <c r="M12" s="54">
        <v>566</v>
      </c>
      <c r="N12" s="54" t="s">
        <v>265</v>
      </c>
      <c r="O12" s="34" t="s">
        <v>147</v>
      </c>
    </row>
    <row r="13" spans="1:15">
      <c r="A13" s="6" t="s">
        <v>46</v>
      </c>
      <c r="B13" s="21">
        <v>0</v>
      </c>
      <c r="C13" s="21">
        <v>0</v>
      </c>
      <c r="D13" s="21">
        <v>0</v>
      </c>
      <c r="E13" s="25">
        <f t="shared" si="0"/>
        <v>0</v>
      </c>
      <c r="F13" s="23">
        <v>1</v>
      </c>
      <c r="G13" s="23">
        <v>0</v>
      </c>
      <c r="H13" s="23">
        <v>0</v>
      </c>
      <c r="I13" s="23">
        <v>1</v>
      </c>
      <c r="J13" s="32">
        <f t="shared" si="1"/>
        <v>2</v>
      </c>
      <c r="K13" s="30">
        <f t="shared" si="2"/>
        <v>2</v>
      </c>
      <c r="L13" s="49" t="s">
        <v>168</v>
      </c>
      <c r="M13" s="50">
        <v>721</v>
      </c>
      <c r="N13" s="50" t="s">
        <v>267</v>
      </c>
      <c r="O13" s="34" t="s">
        <v>150</v>
      </c>
    </row>
    <row r="14" spans="1:15">
      <c r="A14" s="6" t="s">
        <v>53</v>
      </c>
      <c r="B14" s="21">
        <v>0</v>
      </c>
      <c r="C14" s="21">
        <v>0</v>
      </c>
      <c r="D14" s="21">
        <v>0</v>
      </c>
      <c r="E14" s="25">
        <f t="shared" si="0"/>
        <v>0</v>
      </c>
      <c r="F14" s="23">
        <v>1</v>
      </c>
      <c r="G14" s="23">
        <v>0</v>
      </c>
      <c r="H14" s="23">
        <v>0</v>
      </c>
      <c r="I14" s="23">
        <v>1</v>
      </c>
      <c r="J14" s="32">
        <f t="shared" si="1"/>
        <v>2</v>
      </c>
      <c r="K14" s="30">
        <f t="shared" si="2"/>
        <v>2</v>
      </c>
      <c r="L14" s="49" t="s">
        <v>178</v>
      </c>
      <c r="M14" s="50">
        <v>701</v>
      </c>
      <c r="N14" s="50" t="s">
        <v>267</v>
      </c>
      <c r="O14" s="34" t="s">
        <v>149</v>
      </c>
    </row>
    <row r="15" spans="1:15">
      <c r="A15" s="6" t="s">
        <v>75</v>
      </c>
      <c r="B15" s="21">
        <v>0</v>
      </c>
      <c r="C15" s="21">
        <v>0</v>
      </c>
      <c r="D15" s="21">
        <v>0</v>
      </c>
      <c r="E15" s="25">
        <f t="shared" si="0"/>
        <v>0</v>
      </c>
      <c r="F15" s="23">
        <v>1</v>
      </c>
      <c r="G15" s="23">
        <v>0</v>
      </c>
      <c r="H15" s="23">
        <v>0</v>
      </c>
      <c r="I15" s="23">
        <v>1</v>
      </c>
      <c r="J15" s="32">
        <f t="shared" si="1"/>
        <v>2</v>
      </c>
      <c r="K15" s="30">
        <f t="shared" si="2"/>
        <v>2</v>
      </c>
      <c r="L15" s="51" t="s">
        <v>226</v>
      </c>
      <c r="M15" s="52">
        <v>643</v>
      </c>
      <c r="N15" s="52" t="s">
        <v>266</v>
      </c>
      <c r="O15" s="34" t="s">
        <v>148</v>
      </c>
    </row>
    <row r="16" spans="1:15">
      <c r="A16" s="2" t="s">
        <v>93</v>
      </c>
      <c r="B16" s="21">
        <v>0</v>
      </c>
      <c r="C16" s="21">
        <v>0</v>
      </c>
      <c r="D16" s="21">
        <v>0</v>
      </c>
      <c r="E16" s="25">
        <f t="shared" si="0"/>
        <v>0</v>
      </c>
      <c r="F16" s="23" t="e">
        <v>#N/A</v>
      </c>
      <c r="G16" s="23" t="e">
        <v>#N/A</v>
      </c>
      <c r="H16" s="23" t="e">
        <v>#N/A</v>
      </c>
      <c r="I16" s="23">
        <v>1</v>
      </c>
      <c r="J16" s="29">
        <f t="shared" si="1"/>
        <v>1</v>
      </c>
      <c r="K16" s="27">
        <f t="shared" si="2"/>
        <v>1</v>
      </c>
      <c r="L16" s="40"/>
      <c r="M16" s="40"/>
      <c r="N16" s="40"/>
      <c r="O16" s="34"/>
    </row>
    <row r="17" spans="1:15">
      <c r="A17" s="2" t="s">
        <v>95</v>
      </c>
      <c r="B17" s="21">
        <v>0</v>
      </c>
      <c r="C17" s="21">
        <v>0</v>
      </c>
      <c r="D17" s="21">
        <v>0</v>
      </c>
      <c r="E17" s="25">
        <f t="shared" si="0"/>
        <v>0</v>
      </c>
      <c r="F17" s="23">
        <v>1</v>
      </c>
      <c r="G17" s="23" t="e">
        <v>#N/A</v>
      </c>
      <c r="H17" s="23" t="e">
        <v>#N/A</v>
      </c>
      <c r="I17" s="23" t="e">
        <v>#N/A</v>
      </c>
      <c r="J17" s="29">
        <f t="shared" si="1"/>
        <v>1</v>
      </c>
      <c r="K17" s="27">
        <f t="shared" si="2"/>
        <v>1</v>
      </c>
      <c r="L17" s="40"/>
      <c r="M17" s="40"/>
      <c r="N17" s="40"/>
      <c r="O17" s="34"/>
    </row>
    <row r="18" spans="1:15">
      <c r="A18" s="2" t="s">
        <v>101</v>
      </c>
      <c r="B18" s="21">
        <v>0</v>
      </c>
      <c r="C18" s="21">
        <v>0</v>
      </c>
      <c r="D18" s="21">
        <v>0</v>
      </c>
      <c r="E18" s="25">
        <f t="shared" si="0"/>
        <v>0</v>
      </c>
      <c r="F18" s="23">
        <v>1</v>
      </c>
      <c r="G18" s="23">
        <v>0</v>
      </c>
      <c r="H18" s="23">
        <v>0</v>
      </c>
      <c r="I18" s="23">
        <v>0</v>
      </c>
      <c r="J18" s="29">
        <f t="shared" si="1"/>
        <v>1</v>
      </c>
      <c r="K18" s="27">
        <f t="shared" si="2"/>
        <v>1</v>
      </c>
      <c r="L18" s="40"/>
      <c r="M18" s="40"/>
      <c r="N18" s="40"/>
      <c r="O18" s="34"/>
    </row>
    <row r="19" spans="1:15">
      <c r="A19" s="2" t="s">
        <v>21</v>
      </c>
      <c r="B19" s="21">
        <v>0</v>
      </c>
      <c r="C19" s="21">
        <v>0</v>
      </c>
      <c r="D19" s="21">
        <v>0</v>
      </c>
      <c r="E19" s="25">
        <f t="shared" si="0"/>
        <v>0</v>
      </c>
      <c r="F19" s="23">
        <v>0</v>
      </c>
      <c r="G19" s="23">
        <v>0</v>
      </c>
      <c r="H19" s="23">
        <v>0</v>
      </c>
      <c r="I19" s="23">
        <v>1</v>
      </c>
      <c r="J19" s="29">
        <f t="shared" si="1"/>
        <v>1</v>
      </c>
      <c r="K19" s="27">
        <f t="shared" si="2"/>
        <v>1</v>
      </c>
      <c r="L19" s="40"/>
      <c r="M19" s="40"/>
      <c r="N19" s="40"/>
      <c r="O19" s="34"/>
    </row>
    <row r="20" spans="1:15">
      <c r="A20" s="2" t="s">
        <v>26</v>
      </c>
      <c r="B20" s="21">
        <v>0</v>
      </c>
      <c r="C20" s="21">
        <v>0</v>
      </c>
      <c r="D20" s="21">
        <v>0</v>
      </c>
      <c r="E20" s="25">
        <f t="shared" si="0"/>
        <v>0</v>
      </c>
      <c r="F20" s="23">
        <v>1</v>
      </c>
      <c r="G20" s="23" t="e">
        <v>#N/A</v>
      </c>
      <c r="H20" s="23" t="e">
        <v>#N/A</v>
      </c>
      <c r="I20" s="23" t="e">
        <v>#N/A</v>
      </c>
      <c r="J20" s="29">
        <f t="shared" si="1"/>
        <v>1</v>
      </c>
      <c r="K20" s="27">
        <f t="shared" si="2"/>
        <v>1</v>
      </c>
      <c r="L20" s="40"/>
      <c r="M20" s="40"/>
      <c r="N20" s="40"/>
      <c r="O20" s="34"/>
    </row>
    <row r="21" spans="1:15">
      <c r="A21" s="2" t="s">
        <v>41</v>
      </c>
      <c r="B21" s="21">
        <v>0</v>
      </c>
      <c r="C21" s="21">
        <v>0</v>
      </c>
      <c r="D21" s="21">
        <v>0</v>
      </c>
      <c r="E21" s="25">
        <f t="shared" si="0"/>
        <v>0</v>
      </c>
      <c r="F21" s="23">
        <v>1</v>
      </c>
      <c r="G21" s="23">
        <v>0</v>
      </c>
      <c r="H21" s="23">
        <v>0</v>
      </c>
      <c r="I21" s="23">
        <v>0</v>
      </c>
      <c r="J21" s="29">
        <f t="shared" si="1"/>
        <v>1</v>
      </c>
      <c r="K21" s="27">
        <f t="shared" si="2"/>
        <v>1</v>
      </c>
      <c r="L21" s="56" t="s">
        <v>160</v>
      </c>
      <c r="M21" s="57">
        <v>411</v>
      </c>
      <c r="N21" s="57" t="s">
        <v>264</v>
      </c>
      <c r="O21" s="34"/>
    </row>
    <row r="22" spans="1:15">
      <c r="A22" s="2" t="s">
        <v>43</v>
      </c>
      <c r="B22" s="21">
        <v>0</v>
      </c>
      <c r="C22" s="21">
        <v>0</v>
      </c>
      <c r="D22" s="21">
        <v>0</v>
      </c>
      <c r="E22" s="25">
        <f t="shared" si="0"/>
        <v>0</v>
      </c>
      <c r="F22" s="23">
        <v>1</v>
      </c>
      <c r="G22" s="23">
        <v>0</v>
      </c>
      <c r="H22" s="23">
        <v>0</v>
      </c>
      <c r="I22" s="23">
        <v>0</v>
      </c>
      <c r="J22" s="29">
        <f t="shared" si="1"/>
        <v>1</v>
      </c>
      <c r="K22" s="27">
        <f t="shared" si="2"/>
        <v>1</v>
      </c>
      <c r="L22" s="53" t="s">
        <v>164</v>
      </c>
      <c r="M22" s="54">
        <v>605</v>
      </c>
      <c r="N22" s="54" t="s">
        <v>265</v>
      </c>
      <c r="O22" s="34"/>
    </row>
    <row r="23" spans="1:15">
      <c r="A23" s="2" t="s">
        <v>47</v>
      </c>
      <c r="B23" s="21">
        <v>0</v>
      </c>
      <c r="C23" s="21">
        <v>0</v>
      </c>
      <c r="D23" s="21">
        <v>0</v>
      </c>
      <c r="E23" s="25">
        <f t="shared" si="0"/>
        <v>0</v>
      </c>
      <c r="F23" s="23">
        <v>1</v>
      </c>
      <c r="G23" s="23">
        <v>0</v>
      </c>
      <c r="H23" s="23">
        <v>0</v>
      </c>
      <c r="I23" s="23">
        <v>0</v>
      </c>
      <c r="J23" s="29">
        <f t="shared" si="1"/>
        <v>1</v>
      </c>
      <c r="K23" s="27">
        <f t="shared" si="2"/>
        <v>1</v>
      </c>
      <c r="L23" s="49" t="s">
        <v>170</v>
      </c>
      <c r="M23" s="50">
        <v>749</v>
      </c>
      <c r="N23" s="50" t="s">
        <v>267</v>
      </c>
      <c r="O23" s="34"/>
    </row>
    <row r="24" spans="1:15">
      <c r="A24" s="2" t="s">
        <v>48</v>
      </c>
      <c r="B24" s="21">
        <v>0</v>
      </c>
      <c r="C24" s="21">
        <v>0</v>
      </c>
      <c r="D24" s="21">
        <v>0</v>
      </c>
      <c r="E24" s="25">
        <f t="shared" si="0"/>
        <v>0</v>
      </c>
      <c r="F24" s="23">
        <v>0</v>
      </c>
      <c r="G24" s="23" t="e">
        <v>#N/A</v>
      </c>
      <c r="H24" s="23" t="e">
        <v>#N/A</v>
      </c>
      <c r="I24" s="23">
        <v>1</v>
      </c>
      <c r="J24" s="29">
        <f t="shared" si="1"/>
        <v>1</v>
      </c>
      <c r="K24" s="27">
        <f t="shared" si="2"/>
        <v>1</v>
      </c>
      <c r="L24" s="43" t="s">
        <v>254</v>
      </c>
      <c r="M24" s="44" t="e">
        <v>#N/A</v>
      </c>
      <c r="N24" s="44" t="e">
        <v>#N/A</v>
      </c>
      <c r="O24" s="34"/>
    </row>
    <row r="25" spans="1:15">
      <c r="A25" s="2" t="s">
        <v>51</v>
      </c>
      <c r="B25" s="21">
        <v>0</v>
      </c>
      <c r="C25" s="21">
        <v>0</v>
      </c>
      <c r="D25" s="21">
        <v>0</v>
      </c>
      <c r="E25" s="25">
        <f t="shared" si="0"/>
        <v>0</v>
      </c>
      <c r="F25" s="23">
        <v>1</v>
      </c>
      <c r="G25" s="23">
        <v>0</v>
      </c>
      <c r="H25" s="23">
        <v>0</v>
      </c>
      <c r="I25" s="23">
        <v>0</v>
      </c>
      <c r="J25" s="29">
        <f t="shared" si="1"/>
        <v>1</v>
      </c>
      <c r="K25" s="27">
        <f t="shared" si="2"/>
        <v>1</v>
      </c>
      <c r="L25" s="58" t="s">
        <v>174</v>
      </c>
      <c r="M25" s="59">
        <v>514</v>
      </c>
      <c r="N25" s="59" t="s">
        <v>268</v>
      </c>
      <c r="O25" s="34"/>
    </row>
    <row r="26" spans="1:15">
      <c r="A26" s="2" t="s">
        <v>55</v>
      </c>
      <c r="B26" s="21">
        <v>0</v>
      </c>
      <c r="C26" s="21">
        <v>0</v>
      </c>
      <c r="D26" s="21">
        <v>0</v>
      </c>
      <c r="E26" s="25">
        <f t="shared" si="0"/>
        <v>0</v>
      </c>
      <c r="F26" s="23">
        <v>0</v>
      </c>
      <c r="G26" s="23">
        <v>0</v>
      </c>
      <c r="H26" s="23">
        <v>0</v>
      </c>
      <c r="I26" s="23">
        <v>1</v>
      </c>
      <c r="J26" s="29">
        <f t="shared" si="1"/>
        <v>1</v>
      </c>
      <c r="K26" s="27">
        <f t="shared" si="2"/>
        <v>1</v>
      </c>
      <c r="L26" s="46" t="s">
        <v>184</v>
      </c>
      <c r="M26" s="47">
        <v>938</v>
      </c>
      <c r="N26" s="47" t="s">
        <v>263</v>
      </c>
      <c r="O26" s="34"/>
    </row>
    <row r="27" spans="1:15">
      <c r="A27" s="2" t="s">
        <v>57</v>
      </c>
      <c r="B27" s="21">
        <v>0</v>
      </c>
      <c r="C27" s="21" t="e">
        <v>#N/A</v>
      </c>
      <c r="D27" s="21">
        <v>0</v>
      </c>
      <c r="E27" s="25">
        <f t="shared" si="0"/>
        <v>0</v>
      </c>
      <c r="F27" s="23">
        <v>1</v>
      </c>
      <c r="G27" s="23">
        <v>0</v>
      </c>
      <c r="H27" s="23">
        <v>0</v>
      </c>
      <c r="I27" s="23">
        <v>0</v>
      </c>
      <c r="J27" s="29">
        <f t="shared" si="1"/>
        <v>1</v>
      </c>
      <c r="K27" s="27">
        <f t="shared" si="2"/>
        <v>1</v>
      </c>
      <c r="L27" s="58" t="s">
        <v>192</v>
      </c>
      <c r="M27" s="59">
        <v>545</v>
      </c>
      <c r="N27" s="59" t="s">
        <v>268</v>
      </c>
      <c r="O27" s="34"/>
    </row>
    <row r="28" spans="1:15">
      <c r="A28" s="2" t="s">
        <v>60</v>
      </c>
      <c r="B28" s="21">
        <v>0</v>
      </c>
      <c r="C28" s="21">
        <v>0</v>
      </c>
      <c r="D28" s="21">
        <v>0</v>
      </c>
      <c r="E28" s="25">
        <f t="shared" si="0"/>
        <v>0</v>
      </c>
      <c r="F28" s="23">
        <v>1</v>
      </c>
      <c r="G28" s="23">
        <v>0</v>
      </c>
      <c r="H28" s="23">
        <v>0</v>
      </c>
      <c r="I28" s="23">
        <v>0</v>
      </c>
      <c r="J28" s="29">
        <f t="shared" si="1"/>
        <v>1</v>
      </c>
      <c r="K28" s="27">
        <f t="shared" si="2"/>
        <v>1</v>
      </c>
      <c r="L28" s="51" t="s">
        <v>194</v>
      </c>
      <c r="M28" s="52">
        <v>675</v>
      </c>
      <c r="N28" s="52" t="s">
        <v>266</v>
      </c>
      <c r="O28" s="34"/>
    </row>
    <row r="29" spans="1:15">
      <c r="A29" s="2" t="s">
        <v>61</v>
      </c>
      <c r="B29" s="21">
        <v>0</v>
      </c>
      <c r="C29" s="21">
        <v>0</v>
      </c>
      <c r="D29" s="21">
        <v>0</v>
      </c>
      <c r="E29" s="25">
        <f t="shared" si="0"/>
        <v>0</v>
      </c>
      <c r="F29" s="23">
        <v>1</v>
      </c>
      <c r="G29" s="23">
        <v>0</v>
      </c>
      <c r="H29" s="23">
        <v>0</v>
      </c>
      <c r="I29" s="23">
        <v>0</v>
      </c>
      <c r="J29" s="29">
        <f t="shared" si="1"/>
        <v>1</v>
      </c>
      <c r="K29" s="27">
        <f t="shared" si="2"/>
        <v>1</v>
      </c>
      <c r="L29" s="57" t="s">
        <v>196</v>
      </c>
      <c r="M29" s="57">
        <v>466</v>
      </c>
      <c r="N29" s="57" t="s">
        <v>264</v>
      </c>
      <c r="O29" s="34"/>
    </row>
    <row r="30" spans="1:15">
      <c r="A30" s="2" t="s">
        <v>65</v>
      </c>
      <c r="B30" s="21">
        <v>0</v>
      </c>
      <c r="C30" s="21">
        <v>0</v>
      </c>
      <c r="D30" s="21">
        <v>0</v>
      </c>
      <c r="E30" s="25">
        <f t="shared" si="0"/>
        <v>0</v>
      </c>
      <c r="F30" s="23">
        <v>1</v>
      </c>
      <c r="G30" s="23">
        <v>0</v>
      </c>
      <c r="H30" s="23">
        <v>0</v>
      </c>
      <c r="I30" s="23">
        <v>0</v>
      </c>
      <c r="J30" s="29">
        <f t="shared" si="1"/>
        <v>1</v>
      </c>
      <c r="K30" s="27">
        <f t="shared" si="2"/>
        <v>1</v>
      </c>
      <c r="L30" s="51" t="s">
        <v>216</v>
      </c>
      <c r="M30" s="52">
        <v>644</v>
      </c>
      <c r="N30" s="52" t="s">
        <v>266</v>
      </c>
      <c r="O30" s="34"/>
    </row>
    <row r="31" spans="1:15">
      <c r="A31" s="2" t="s">
        <v>67</v>
      </c>
      <c r="B31" s="21">
        <v>0</v>
      </c>
      <c r="C31" s="21">
        <v>0</v>
      </c>
      <c r="D31" s="21">
        <v>0</v>
      </c>
      <c r="E31" s="25">
        <f t="shared" si="0"/>
        <v>0</v>
      </c>
      <c r="F31" s="23">
        <v>1</v>
      </c>
      <c r="G31" s="23">
        <v>0</v>
      </c>
      <c r="H31" s="23">
        <v>0</v>
      </c>
      <c r="I31" s="23">
        <v>0</v>
      </c>
      <c r="J31" s="29">
        <f t="shared" si="1"/>
        <v>1</v>
      </c>
      <c r="K31" s="27">
        <f t="shared" si="2"/>
        <v>1</v>
      </c>
      <c r="L31" s="49" t="s">
        <v>204</v>
      </c>
      <c r="M31" s="50">
        <v>760</v>
      </c>
      <c r="N31" s="50" t="s">
        <v>267</v>
      </c>
      <c r="O31" s="34"/>
    </row>
    <row r="32" spans="1:15">
      <c r="A32" s="2" t="s">
        <v>68</v>
      </c>
      <c r="B32" s="21">
        <v>0</v>
      </c>
      <c r="C32" s="21">
        <v>0</v>
      </c>
      <c r="D32" s="21">
        <v>0</v>
      </c>
      <c r="E32" s="25">
        <f t="shared" si="0"/>
        <v>0</v>
      </c>
      <c r="F32" s="23">
        <v>0</v>
      </c>
      <c r="G32" s="23">
        <v>0</v>
      </c>
      <c r="H32" s="23">
        <v>0</v>
      </c>
      <c r="I32" s="23">
        <v>1</v>
      </c>
      <c r="J32" s="29">
        <f t="shared" si="1"/>
        <v>1</v>
      </c>
      <c r="K32" s="27">
        <f t="shared" si="2"/>
        <v>1</v>
      </c>
      <c r="L32" s="58" t="s">
        <v>208</v>
      </c>
      <c r="M32" s="59">
        <v>538</v>
      </c>
      <c r="N32" s="59" t="s">
        <v>268</v>
      </c>
      <c r="O32" s="34"/>
    </row>
    <row r="33" spans="1:15">
      <c r="A33" s="2" t="s">
        <v>72</v>
      </c>
      <c r="B33" s="21">
        <v>0</v>
      </c>
      <c r="C33" s="21">
        <v>0</v>
      </c>
      <c r="D33" s="21">
        <v>0</v>
      </c>
      <c r="E33" s="25">
        <f t="shared" si="0"/>
        <v>0</v>
      </c>
      <c r="F33" s="23">
        <v>1</v>
      </c>
      <c r="G33" s="23">
        <v>0</v>
      </c>
      <c r="H33" s="23">
        <v>0</v>
      </c>
      <c r="I33" s="23">
        <v>0</v>
      </c>
      <c r="J33" s="29">
        <f t="shared" si="1"/>
        <v>1</v>
      </c>
      <c r="K33" s="27">
        <f t="shared" si="2"/>
        <v>1</v>
      </c>
      <c r="L33" s="49" t="s">
        <v>220</v>
      </c>
      <c r="M33" s="50">
        <v>718</v>
      </c>
      <c r="N33" s="50" t="s">
        <v>267</v>
      </c>
      <c r="O33" s="34"/>
    </row>
    <row r="34" spans="1:15">
      <c r="A34" s="2" t="s">
        <v>80</v>
      </c>
      <c r="B34" s="21">
        <v>0</v>
      </c>
      <c r="C34" s="21">
        <v>0</v>
      </c>
      <c r="D34" s="21">
        <v>0</v>
      </c>
      <c r="E34" s="25">
        <f t="shared" ref="E34:E65" si="3">SUMIF(B34:D34,"&lt;&gt;#N/A")</f>
        <v>0</v>
      </c>
      <c r="F34" s="23">
        <v>0</v>
      </c>
      <c r="G34" s="23">
        <v>0</v>
      </c>
      <c r="H34" s="23">
        <v>0</v>
      </c>
      <c r="I34" s="23">
        <v>1</v>
      </c>
      <c r="J34" s="29">
        <f t="shared" ref="J34:J65" si="4">SUMIF(F34:I34,"&lt;&gt;#N/A")</f>
        <v>1</v>
      </c>
      <c r="K34" s="27">
        <f t="shared" ref="K34:K65" si="5">SUM(E34,J34)</f>
        <v>1</v>
      </c>
      <c r="L34" s="46" t="s">
        <v>234</v>
      </c>
      <c r="M34" s="47">
        <v>904</v>
      </c>
      <c r="N34" s="47" t="s">
        <v>263</v>
      </c>
      <c r="O34" s="34"/>
    </row>
    <row r="35" spans="1:15">
      <c r="A35" s="2" t="s">
        <v>81</v>
      </c>
      <c r="B35" s="21">
        <v>0</v>
      </c>
      <c r="C35" s="21">
        <v>0</v>
      </c>
      <c r="D35" s="21" t="e">
        <v>#N/A</v>
      </c>
      <c r="E35" s="25">
        <f t="shared" si="3"/>
        <v>0</v>
      </c>
      <c r="F35" s="23">
        <v>1</v>
      </c>
      <c r="G35" s="23">
        <v>0</v>
      </c>
      <c r="H35" s="23">
        <v>0</v>
      </c>
      <c r="I35" s="23">
        <v>0</v>
      </c>
      <c r="J35" s="29">
        <f t="shared" si="4"/>
        <v>1</v>
      </c>
      <c r="K35" s="27">
        <f t="shared" si="5"/>
        <v>1</v>
      </c>
      <c r="L35" s="49" t="s">
        <v>236</v>
      </c>
      <c r="M35" s="50">
        <v>708</v>
      </c>
      <c r="N35" s="50" t="s">
        <v>267</v>
      </c>
      <c r="O35" s="34"/>
    </row>
    <row r="36" spans="1:15">
      <c r="A36" s="2" t="s">
        <v>85</v>
      </c>
      <c r="B36" s="21">
        <v>0</v>
      </c>
      <c r="C36" s="21">
        <v>0</v>
      </c>
      <c r="D36" s="21">
        <v>0</v>
      </c>
      <c r="E36" s="25">
        <f t="shared" si="3"/>
        <v>0</v>
      </c>
      <c r="F36" s="23">
        <v>1</v>
      </c>
      <c r="G36" s="23">
        <v>0</v>
      </c>
      <c r="H36" s="23">
        <v>0</v>
      </c>
      <c r="I36" s="23">
        <v>0</v>
      </c>
      <c r="J36" s="29">
        <f t="shared" si="4"/>
        <v>1</v>
      </c>
      <c r="K36" s="27">
        <f t="shared" si="5"/>
        <v>1</v>
      </c>
      <c r="L36" s="57" t="s">
        <v>240</v>
      </c>
      <c r="M36" s="57">
        <v>460</v>
      </c>
      <c r="N36" s="57" t="s">
        <v>264</v>
      </c>
      <c r="O36" s="34"/>
    </row>
    <row r="37" spans="1:15">
      <c r="A37" s="2" t="s">
        <v>87</v>
      </c>
      <c r="B37" s="21">
        <v>0</v>
      </c>
      <c r="C37" s="21">
        <v>0</v>
      </c>
      <c r="D37" s="21">
        <v>0</v>
      </c>
      <c r="E37" s="25">
        <f t="shared" si="3"/>
        <v>0</v>
      </c>
      <c r="F37" s="23">
        <v>1</v>
      </c>
      <c r="G37" s="23">
        <v>0</v>
      </c>
      <c r="H37" s="23">
        <v>0</v>
      </c>
      <c r="I37" s="23">
        <v>0</v>
      </c>
      <c r="J37" s="29">
        <f t="shared" si="4"/>
        <v>1</v>
      </c>
      <c r="K37" s="27">
        <f t="shared" si="5"/>
        <v>1</v>
      </c>
      <c r="L37" s="60" t="s">
        <v>248</v>
      </c>
      <c r="M37" s="59">
        <v>502</v>
      </c>
      <c r="N37" s="59" t="s">
        <v>268</v>
      </c>
      <c r="O37" s="34"/>
    </row>
    <row r="38" spans="1:15">
      <c r="A38" s="2" t="s">
        <v>90</v>
      </c>
      <c r="B38" s="21">
        <v>0</v>
      </c>
      <c r="C38" s="21">
        <v>0</v>
      </c>
      <c r="D38" s="21">
        <v>0</v>
      </c>
      <c r="E38" s="25">
        <f t="shared" si="3"/>
        <v>0</v>
      </c>
      <c r="F38" s="23" t="e">
        <v>#N/A</v>
      </c>
      <c r="G38" s="23" t="e">
        <v>#N/A</v>
      </c>
      <c r="H38" s="23" t="e">
        <v>#N/A</v>
      </c>
      <c r="I38" s="23" t="e">
        <v>#N/A</v>
      </c>
      <c r="J38" s="29">
        <f t="shared" si="4"/>
        <v>0</v>
      </c>
      <c r="K38" s="27">
        <f t="shared" si="5"/>
        <v>0</v>
      </c>
      <c r="L38" s="40"/>
      <c r="M38" s="40"/>
      <c r="N38" s="40"/>
      <c r="O38" s="34"/>
    </row>
    <row r="39" spans="1:15">
      <c r="A39" s="2" t="s">
        <v>91</v>
      </c>
      <c r="B39" s="21">
        <v>0</v>
      </c>
      <c r="C39" s="21">
        <v>0</v>
      </c>
      <c r="D39" s="21">
        <v>0</v>
      </c>
      <c r="E39" s="25">
        <f t="shared" si="3"/>
        <v>0</v>
      </c>
      <c r="F39" s="23" t="e">
        <v>#N/A</v>
      </c>
      <c r="G39" s="23" t="e">
        <v>#N/A</v>
      </c>
      <c r="H39" s="23">
        <v>0</v>
      </c>
      <c r="I39" s="23" t="e">
        <v>#N/A</v>
      </c>
      <c r="J39" s="29">
        <f t="shared" si="4"/>
        <v>0</v>
      </c>
      <c r="K39" s="27">
        <f t="shared" si="5"/>
        <v>0</v>
      </c>
      <c r="L39" s="40"/>
      <c r="M39" s="40"/>
      <c r="N39" s="40"/>
      <c r="O39" s="34"/>
    </row>
    <row r="40" spans="1:15">
      <c r="A40" s="2" t="s">
        <v>92</v>
      </c>
      <c r="B40" s="21">
        <v>0</v>
      </c>
      <c r="C40" s="21">
        <v>0</v>
      </c>
      <c r="D40" s="21">
        <v>0</v>
      </c>
      <c r="E40" s="25">
        <f t="shared" si="3"/>
        <v>0</v>
      </c>
      <c r="F40" s="23" t="e">
        <v>#N/A</v>
      </c>
      <c r="G40" s="23" t="e">
        <v>#N/A</v>
      </c>
      <c r="H40" s="23" t="e">
        <v>#N/A</v>
      </c>
      <c r="I40" s="23" t="e">
        <v>#N/A</v>
      </c>
      <c r="J40" s="29">
        <f t="shared" si="4"/>
        <v>0</v>
      </c>
      <c r="K40" s="27">
        <f t="shared" si="5"/>
        <v>0</v>
      </c>
      <c r="L40" s="40"/>
      <c r="M40" s="40"/>
      <c r="N40" s="40"/>
      <c r="O40" s="34"/>
    </row>
    <row r="41" spans="1:15">
      <c r="A41" s="2" t="s">
        <v>96</v>
      </c>
      <c r="B41" s="21">
        <v>0</v>
      </c>
      <c r="C41" s="21">
        <v>0</v>
      </c>
      <c r="D41" s="21">
        <v>0</v>
      </c>
      <c r="E41" s="25">
        <f t="shared" si="3"/>
        <v>0</v>
      </c>
      <c r="F41" s="23" t="e">
        <v>#N/A</v>
      </c>
      <c r="G41" s="23" t="e">
        <v>#N/A</v>
      </c>
      <c r="H41" s="23" t="e">
        <v>#N/A</v>
      </c>
      <c r="I41" s="23" t="e">
        <v>#N/A</v>
      </c>
      <c r="J41" s="29">
        <f t="shared" si="4"/>
        <v>0</v>
      </c>
      <c r="K41" s="27">
        <f t="shared" si="5"/>
        <v>0</v>
      </c>
      <c r="L41" s="40"/>
      <c r="M41" s="40"/>
      <c r="N41" s="40"/>
      <c r="O41" s="34"/>
    </row>
    <row r="42" spans="1:15">
      <c r="A42" s="2" t="s">
        <v>97</v>
      </c>
      <c r="B42" s="21">
        <v>0</v>
      </c>
      <c r="C42" s="21">
        <v>0</v>
      </c>
      <c r="D42" s="21">
        <v>0</v>
      </c>
      <c r="E42" s="25">
        <f t="shared" si="3"/>
        <v>0</v>
      </c>
      <c r="F42" s="23" t="e">
        <v>#N/A</v>
      </c>
      <c r="G42" s="23" t="e">
        <v>#N/A</v>
      </c>
      <c r="H42" s="23" t="e">
        <v>#N/A</v>
      </c>
      <c r="I42" s="23" t="e">
        <v>#N/A</v>
      </c>
      <c r="J42" s="29">
        <f t="shared" si="4"/>
        <v>0</v>
      </c>
      <c r="K42" s="27">
        <f t="shared" si="5"/>
        <v>0</v>
      </c>
      <c r="L42" s="40"/>
      <c r="M42" s="40"/>
      <c r="N42" s="40"/>
      <c r="O42" s="34"/>
    </row>
    <row r="43" spans="1:15">
      <c r="A43" s="2" t="s">
        <v>98</v>
      </c>
      <c r="B43" s="21">
        <v>0</v>
      </c>
      <c r="C43" s="21">
        <v>0</v>
      </c>
      <c r="D43" s="21">
        <v>0</v>
      </c>
      <c r="E43" s="25">
        <f t="shared" si="3"/>
        <v>0</v>
      </c>
      <c r="F43" s="23" t="e">
        <v>#N/A</v>
      </c>
      <c r="G43" s="23" t="e">
        <v>#N/A</v>
      </c>
      <c r="H43" s="23" t="e">
        <v>#N/A</v>
      </c>
      <c r="I43" s="23" t="e">
        <v>#N/A</v>
      </c>
      <c r="J43" s="29">
        <f t="shared" si="4"/>
        <v>0</v>
      </c>
      <c r="K43" s="27">
        <f t="shared" si="5"/>
        <v>0</v>
      </c>
      <c r="L43" s="40"/>
      <c r="M43" s="40"/>
      <c r="N43" s="40"/>
      <c r="O43" s="34"/>
    </row>
    <row r="44" spans="1:15">
      <c r="A44" s="2" t="s">
        <v>19</v>
      </c>
      <c r="B44" s="21">
        <v>0</v>
      </c>
      <c r="C44" s="21">
        <v>0</v>
      </c>
      <c r="D44" s="21">
        <v>0</v>
      </c>
      <c r="E44" s="25">
        <f t="shared" si="3"/>
        <v>0</v>
      </c>
      <c r="F44" s="23" t="e">
        <v>#N/A</v>
      </c>
      <c r="G44" s="23">
        <v>0</v>
      </c>
      <c r="H44" s="23" t="e">
        <v>#N/A</v>
      </c>
      <c r="I44" s="23" t="e">
        <v>#N/A</v>
      </c>
      <c r="J44" s="29">
        <f t="shared" si="4"/>
        <v>0</v>
      </c>
      <c r="K44" s="27">
        <f t="shared" si="5"/>
        <v>0</v>
      </c>
      <c r="L44" s="40"/>
      <c r="M44" s="40"/>
      <c r="N44" s="40"/>
      <c r="O44" s="34"/>
    </row>
    <row r="45" spans="1:15">
      <c r="A45" s="2" t="s">
        <v>22</v>
      </c>
      <c r="B45" s="21">
        <v>0</v>
      </c>
      <c r="C45" s="21">
        <v>0</v>
      </c>
      <c r="D45" s="21">
        <v>0</v>
      </c>
      <c r="E45" s="25">
        <f t="shared" si="3"/>
        <v>0</v>
      </c>
      <c r="F45" s="23" t="e">
        <v>#N/A</v>
      </c>
      <c r="G45" s="23" t="e">
        <v>#N/A</v>
      </c>
      <c r="H45" s="23">
        <v>0</v>
      </c>
      <c r="I45" s="23" t="e">
        <v>#N/A</v>
      </c>
      <c r="J45" s="29">
        <f t="shared" si="4"/>
        <v>0</v>
      </c>
      <c r="K45" s="27">
        <f t="shared" si="5"/>
        <v>0</v>
      </c>
      <c r="L45" s="40"/>
      <c r="M45" s="40"/>
      <c r="N45" s="40"/>
      <c r="O45" s="34"/>
    </row>
    <row r="46" spans="1:15">
      <c r="A46" s="2" t="s">
        <v>23</v>
      </c>
      <c r="B46" s="21">
        <v>0</v>
      </c>
      <c r="C46" s="21">
        <v>0</v>
      </c>
      <c r="D46" s="21">
        <v>0</v>
      </c>
      <c r="E46" s="25">
        <f t="shared" si="3"/>
        <v>0</v>
      </c>
      <c r="F46" s="23">
        <v>0</v>
      </c>
      <c r="G46" s="23">
        <v>0</v>
      </c>
      <c r="H46" s="23">
        <v>0</v>
      </c>
      <c r="I46" s="23">
        <v>0</v>
      </c>
      <c r="J46" s="29">
        <f t="shared" si="4"/>
        <v>0</v>
      </c>
      <c r="K46" s="27">
        <f t="shared" si="5"/>
        <v>0</v>
      </c>
      <c r="L46" s="40"/>
      <c r="M46" s="40"/>
      <c r="N46" s="40"/>
      <c r="O46" s="34"/>
    </row>
    <row r="47" spans="1:15">
      <c r="A47" s="2" t="s">
        <v>25</v>
      </c>
      <c r="B47" s="21">
        <v>0</v>
      </c>
      <c r="C47" s="21">
        <v>0</v>
      </c>
      <c r="D47" s="21">
        <v>0</v>
      </c>
      <c r="E47" s="25">
        <f t="shared" si="3"/>
        <v>0</v>
      </c>
      <c r="F47" s="23" t="e">
        <v>#N/A</v>
      </c>
      <c r="G47" s="23" t="e">
        <v>#N/A</v>
      </c>
      <c r="H47" s="23" t="e">
        <v>#N/A</v>
      </c>
      <c r="I47" s="23" t="e">
        <v>#N/A</v>
      </c>
      <c r="J47" s="29">
        <f t="shared" si="4"/>
        <v>0</v>
      </c>
      <c r="K47" s="27">
        <f t="shared" si="5"/>
        <v>0</v>
      </c>
      <c r="L47" s="40"/>
      <c r="M47" s="40"/>
      <c r="N47" s="40"/>
      <c r="O47" s="34"/>
    </row>
    <row r="48" spans="1:15">
      <c r="A48" s="2" t="s">
        <v>28</v>
      </c>
      <c r="B48" s="21">
        <v>0</v>
      </c>
      <c r="C48" s="21">
        <v>0</v>
      </c>
      <c r="D48" s="21">
        <v>0</v>
      </c>
      <c r="E48" s="25">
        <f t="shared" si="3"/>
        <v>0</v>
      </c>
      <c r="F48" s="23" t="e">
        <v>#N/A</v>
      </c>
      <c r="G48" s="23" t="e">
        <v>#N/A</v>
      </c>
      <c r="H48" s="23" t="e">
        <v>#N/A</v>
      </c>
      <c r="I48" s="23" t="e">
        <v>#N/A</v>
      </c>
      <c r="J48" s="29">
        <f t="shared" si="4"/>
        <v>0</v>
      </c>
      <c r="K48" s="27">
        <f t="shared" si="5"/>
        <v>0</v>
      </c>
      <c r="L48" s="40"/>
      <c r="M48" s="40"/>
      <c r="N48" s="40"/>
      <c r="O48" s="34"/>
    </row>
    <row r="49" spans="1:15">
      <c r="A49" s="2" t="s">
        <v>29</v>
      </c>
      <c r="B49" s="21">
        <v>0</v>
      </c>
      <c r="C49" s="21">
        <v>0</v>
      </c>
      <c r="D49" s="21">
        <v>0</v>
      </c>
      <c r="E49" s="25">
        <f t="shared" si="3"/>
        <v>0</v>
      </c>
      <c r="F49" s="23">
        <v>0</v>
      </c>
      <c r="G49" s="23">
        <v>0</v>
      </c>
      <c r="H49" s="23">
        <v>0</v>
      </c>
      <c r="I49" s="23">
        <v>0</v>
      </c>
      <c r="J49" s="29">
        <f t="shared" si="4"/>
        <v>0</v>
      </c>
      <c r="K49" s="27">
        <f t="shared" si="5"/>
        <v>0</v>
      </c>
      <c r="L49" s="40"/>
      <c r="M49" s="40"/>
      <c r="N49" s="40"/>
      <c r="O49" s="34"/>
    </row>
    <row r="50" spans="1:15">
      <c r="A50" s="2" t="s">
        <v>32</v>
      </c>
      <c r="B50" s="21">
        <v>0</v>
      </c>
      <c r="C50" s="21">
        <v>0</v>
      </c>
      <c r="D50" s="21">
        <v>0</v>
      </c>
      <c r="E50" s="25">
        <f t="shared" si="3"/>
        <v>0</v>
      </c>
      <c r="F50" s="23" t="e">
        <v>#N/A</v>
      </c>
      <c r="G50" s="23">
        <v>0</v>
      </c>
      <c r="H50" s="23" t="e">
        <v>#N/A</v>
      </c>
      <c r="I50" s="23" t="e">
        <v>#N/A</v>
      </c>
      <c r="J50" s="29">
        <f t="shared" si="4"/>
        <v>0</v>
      </c>
      <c r="K50" s="27">
        <f t="shared" si="5"/>
        <v>0</v>
      </c>
      <c r="L50" s="40"/>
      <c r="M50" s="40"/>
      <c r="N50" s="40"/>
      <c r="O50" s="34"/>
    </row>
    <row r="51" spans="1:15">
      <c r="A51" s="2" t="s">
        <v>33</v>
      </c>
      <c r="B51" s="21">
        <v>0</v>
      </c>
      <c r="C51" s="21">
        <v>0</v>
      </c>
      <c r="D51" s="21">
        <v>0</v>
      </c>
      <c r="E51" s="25">
        <f t="shared" si="3"/>
        <v>0</v>
      </c>
      <c r="F51" s="23" t="e">
        <v>#N/A</v>
      </c>
      <c r="G51" s="23" t="e">
        <v>#N/A</v>
      </c>
      <c r="H51" s="23">
        <v>0</v>
      </c>
      <c r="I51" s="23" t="e">
        <v>#N/A</v>
      </c>
      <c r="J51" s="29">
        <f t="shared" si="4"/>
        <v>0</v>
      </c>
      <c r="K51" s="27">
        <f t="shared" si="5"/>
        <v>0</v>
      </c>
      <c r="L51" s="40"/>
      <c r="M51" s="40"/>
      <c r="N51" s="40"/>
      <c r="O51" s="34"/>
    </row>
    <row r="52" spans="1:15">
      <c r="A52" s="2" t="s">
        <v>34</v>
      </c>
      <c r="B52" s="21">
        <v>0</v>
      </c>
      <c r="C52" s="21">
        <v>0</v>
      </c>
      <c r="D52" s="21">
        <v>0</v>
      </c>
      <c r="E52" s="25">
        <f t="shared" si="3"/>
        <v>0</v>
      </c>
      <c r="F52" s="23" t="e">
        <v>#N/A</v>
      </c>
      <c r="G52" s="23">
        <v>0</v>
      </c>
      <c r="H52" s="23" t="e">
        <v>#N/A</v>
      </c>
      <c r="I52" s="23">
        <v>0</v>
      </c>
      <c r="J52" s="29">
        <f t="shared" si="4"/>
        <v>0</v>
      </c>
      <c r="K52" s="27">
        <f t="shared" si="5"/>
        <v>0</v>
      </c>
      <c r="L52" s="40"/>
      <c r="M52" s="40"/>
      <c r="N52" s="40"/>
      <c r="O52" s="34"/>
    </row>
    <row r="53" spans="1:15">
      <c r="A53" s="2" t="s">
        <v>35</v>
      </c>
      <c r="B53" s="21">
        <v>0</v>
      </c>
      <c r="C53" s="21">
        <v>0</v>
      </c>
      <c r="D53" s="21">
        <v>0</v>
      </c>
      <c r="E53" s="25">
        <f t="shared" si="3"/>
        <v>0</v>
      </c>
      <c r="F53" s="23">
        <v>0</v>
      </c>
      <c r="G53" s="23" t="e">
        <v>#N/A</v>
      </c>
      <c r="H53" s="23">
        <v>0</v>
      </c>
      <c r="I53" s="23">
        <v>0</v>
      </c>
      <c r="J53" s="29">
        <f t="shared" si="4"/>
        <v>0</v>
      </c>
      <c r="K53" s="27">
        <f t="shared" si="5"/>
        <v>0</v>
      </c>
      <c r="L53" s="43" t="s">
        <v>260</v>
      </c>
      <c r="M53" s="44" t="e">
        <v>#N/A</v>
      </c>
      <c r="N53" s="44" t="e">
        <v>#N/A</v>
      </c>
      <c r="O53" s="34"/>
    </row>
    <row r="54" spans="1:15">
      <c r="A54" s="2" t="s">
        <v>36</v>
      </c>
      <c r="B54" s="21">
        <v>0</v>
      </c>
      <c r="C54" s="21">
        <v>0</v>
      </c>
      <c r="D54" s="21">
        <v>0</v>
      </c>
      <c r="E54" s="25">
        <f t="shared" si="3"/>
        <v>0</v>
      </c>
      <c r="F54" s="23">
        <v>0</v>
      </c>
      <c r="G54" s="23" t="e">
        <v>#N/A</v>
      </c>
      <c r="H54" s="23">
        <v>0</v>
      </c>
      <c r="I54" s="23">
        <v>0</v>
      </c>
      <c r="J54" s="29">
        <f t="shared" si="4"/>
        <v>0</v>
      </c>
      <c r="K54" s="27">
        <f t="shared" si="5"/>
        <v>0</v>
      </c>
      <c r="L54" s="56" t="s">
        <v>154</v>
      </c>
      <c r="M54" s="57">
        <v>354</v>
      </c>
      <c r="N54" s="57" t="s">
        <v>264</v>
      </c>
      <c r="O54" s="34"/>
    </row>
    <row r="55" spans="1:15">
      <c r="A55" s="2" t="s">
        <v>37</v>
      </c>
      <c r="B55" s="21">
        <v>0</v>
      </c>
      <c r="C55" s="21">
        <v>0</v>
      </c>
      <c r="D55" s="21">
        <v>0</v>
      </c>
      <c r="E55" s="25">
        <f t="shared" si="3"/>
        <v>0</v>
      </c>
      <c r="F55" s="23">
        <v>0</v>
      </c>
      <c r="G55" s="23">
        <v>0</v>
      </c>
      <c r="H55" s="23">
        <v>0</v>
      </c>
      <c r="I55" s="23">
        <v>0</v>
      </c>
      <c r="J55" s="29">
        <f t="shared" si="4"/>
        <v>0</v>
      </c>
      <c r="K55" s="27">
        <f t="shared" si="5"/>
        <v>0</v>
      </c>
      <c r="L55" s="46" t="s">
        <v>152</v>
      </c>
      <c r="M55" s="47">
        <v>985</v>
      </c>
      <c r="N55" s="47" t="s">
        <v>263</v>
      </c>
      <c r="O55" s="34"/>
    </row>
    <row r="56" spans="1:15">
      <c r="A56" s="2" t="s">
        <v>38</v>
      </c>
      <c r="B56" s="21">
        <v>0</v>
      </c>
      <c r="C56" s="21">
        <v>0</v>
      </c>
      <c r="D56" s="21">
        <v>0</v>
      </c>
      <c r="E56" s="25">
        <f t="shared" si="3"/>
        <v>0</v>
      </c>
      <c r="F56" s="23">
        <v>0</v>
      </c>
      <c r="G56" s="23" t="e">
        <v>#N/A</v>
      </c>
      <c r="H56" s="23" t="e">
        <v>#N/A</v>
      </c>
      <c r="I56" s="23" t="e">
        <v>#N/A</v>
      </c>
      <c r="J56" s="29">
        <f t="shared" si="4"/>
        <v>0</v>
      </c>
      <c r="K56" s="27">
        <f t="shared" si="5"/>
        <v>0</v>
      </c>
      <c r="L56" s="43" t="s">
        <v>261</v>
      </c>
      <c r="M56" s="44" t="e">
        <v>#N/A</v>
      </c>
      <c r="N56" s="44" t="e">
        <v>#N/A</v>
      </c>
      <c r="O56" s="34"/>
    </row>
    <row r="57" spans="1:15">
      <c r="A57" s="2" t="s">
        <v>39</v>
      </c>
      <c r="B57" s="21">
        <v>0</v>
      </c>
      <c r="C57" s="21">
        <v>0</v>
      </c>
      <c r="D57" s="21">
        <v>0</v>
      </c>
      <c r="E57" s="25">
        <f t="shared" si="3"/>
        <v>0</v>
      </c>
      <c r="F57" s="23">
        <v>0</v>
      </c>
      <c r="G57" s="23">
        <v>0</v>
      </c>
      <c r="H57" s="23">
        <v>0</v>
      </c>
      <c r="I57" s="23">
        <v>0</v>
      </c>
      <c r="J57" s="29">
        <f t="shared" si="4"/>
        <v>0</v>
      </c>
      <c r="K57" s="27">
        <f t="shared" si="5"/>
        <v>0</v>
      </c>
      <c r="L57" s="46" t="s">
        <v>158</v>
      </c>
      <c r="M57" s="47">
        <v>927</v>
      </c>
      <c r="N57" s="47" t="s">
        <v>263</v>
      </c>
      <c r="O57" s="34"/>
    </row>
    <row r="58" spans="1:15">
      <c r="A58" s="2" t="s">
        <v>42</v>
      </c>
      <c r="B58" s="21">
        <v>0</v>
      </c>
      <c r="C58" s="21">
        <v>0</v>
      </c>
      <c r="D58" s="21">
        <v>0</v>
      </c>
      <c r="E58" s="25">
        <f t="shared" si="3"/>
        <v>0</v>
      </c>
      <c r="F58" s="23">
        <v>0</v>
      </c>
      <c r="G58" s="23">
        <v>0</v>
      </c>
      <c r="H58" s="23">
        <v>0</v>
      </c>
      <c r="I58" s="23">
        <v>0</v>
      </c>
      <c r="J58" s="29">
        <f t="shared" si="4"/>
        <v>0</v>
      </c>
      <c r="K58" s="27">
        <f t="shared" si="5"/>
        <v>0</v>
      </c>
      <c r="L58" s="56" t="s">
        <v>162</v>
      </c>
      <c r="M58" s="57">
        <v>425</v>
      </c>
      <c r="N58" s="57" t="s">
        <v>264</v>
      </c>
      <c r="O58" s="34"/>
    </row>
    <row r="59" spans="1:15">
      <c r="A59" s="2" t="s">
        <v>44</v>
      </c>
      <c r="B59" s="21">
        <v>0</v>
      </c>
      <c r="C59" s="21">
        <v>0</v>
      </c>
      <c r="D59" s="21">
        <v>0</v>
      </c>
      <c r="E59" s="25">
        <f t="shared" si="3"/>
        <v>0</v>
      </c>
      <c r="F59" s="23">
        <v>0</v>
      </c>
      <c r="G59" s="23">
        <v>0</v>
      </c>
      <c r="H59" s="23">
        <v>0</v>
      </c>
      <c r="I59" s="23">
        <v>0</v>
      </c>
      <c r="J59" s="29">
        <f t="shared" si="4"/>
        <v>0</v>
      </c>
      <c r="K59" s="27">
        <f t="shared" si="5"/>
        <v>0</v>
      </c>
      <c r="L59" s="51" t="s">
        <v>252</v>
      </c>
      <c r="M59" s="52">
        <v>673</v>
      </c>
      <c r="N59" s="52" t="s">
        <v>266</v>
      </c>
      <c r="O59" s="34"/>
    </row>
    <row r="60" spans="1:15">
      <c r="A60" s="2" t="s">
        <v>45</v>
      </c>
      <c r="B60" s="21">
        <v>0</v>
      </c>
      <c r="C60" s="21">
        <v>0</v>
      </c>
      <c r="D60" s="21">
        <v>0</v>
      </c>
      <c r="E60" s="25">
        <f t="shared" si="3"/>
        <v>0</v>
      </c>
      <c r="F60" s="23">
        <v>0</v>
      </c>
      <c r="G60" s="23">
        <v>0</v>
      </c>
      <c r="H60" s="23">
        <v>0</v>
      </c>
      <c r="I60" s="23">
        <v>0</v>
      </c>
      <c r="J60" s="29">
        <f t="shared" si="4"/>
        <v>0</v>
      </c>
      <c r="K60" s="27">
        <f t="shared" si="5"/>
        <v>0</v>
      </c>
      <c r="L60" s="53" t="s">
        <v>166</v>
      </c>
      <c r="M60" s="54">
        <v>619</v>
      </c>
      <c r="N60" s="54" t="s">
        <v>265</v>
      </c>
      <c r="O60" s="34"/>
    </row>
    <row r="61" spans="1:15">
      <c r="A61" s="2" t="s">
        <v>49</v>
      </c>
      <c r="B61" s="21">
        <v>0</v>
      </c>
      <c r="C61" s="21">
        <v>0</v>
      </c>
      <c r="D61" s="21">
        <v>0</v>
      </c>
      <c r="E61" s="25">
        <f t="shared" si="3"/>
        <v>0</v>
      </c>
      <c r="F61" s="23">
        <v>0</v>
      </c>
      <c r="G61" s="23">
        <v>0</v>
      </c>
      <c r="H61" s="23">
        <v>0</v>
      </c>
      <c r="I61" s="23">
        <v>0</v>
      </c>
      <c r="J61" s="29">
        <f t="shared" si="4"/>
        <v>0</v>
      </c>
      <c r="K61" s="27">
        <f t="shared" si="5"/>
        <v>0</v>
      </c>
      <c r="L61" s="56" t="s">
        <v>172</v>
      </c>
      <c r="M61" s="57">
        <v>392</v>
      </c>
      <c r="N61" s="57" t="s">
        <v>264</v>
      </c>
      <c r="O61" s="34"/>
    </row>
    <row r="62" spans="1:15">
      <c r="A62" s="2" t="s">
        <v>50</v>
      </c>
      <c r="B62" s="21">
        <v>0</v>
      </c>
      <c r="C62" s="21">
        <v>0</v>
      </c>
      <c r="D62" s="21">
        <v>0</v>
      </c>
      <c r="E62" s="25">
        <f t="shared" si="3"/>
        <v>0</v>
      </c>
      <c r="F62" s="23">
        <v>0</v>
      </c>
      <c r="G62" s="23">
        <v>0</v>
      </c>
      <c r="H62" s="23">
        <v>0</v>
      </c>
      <c r="I62" s="23">
        <v>0</v>
      </c>
      <c r="J62" s="29">
        <f t="shared" si="4"/>
        <v>0</v>
      </c>
      <c r="K62" s="27">
        <f t="shared" si="5"/>
        <v>0</v>
      </c>
      <c r="L62" s="49" t="s">
        <v>180</v>
      </c>
      <c r="M62" s="50">
        <v>677</v>
      </c>
      <c r="N62" s="50" t="s">
        <v>267</v>
      </c>
      <c r="O62" s="34"/>
    </row>
    <row r="63" spans="1:15">
      <c r="A63" s="2" t="s">
        <v>52</v>
      </c>
      <c r="B63" s="21">
        <v>0</v>
      </c>
      <c r="C63" s="21">
        <v>0</v>
      </c>
      <c r="D63" s="21">
        <v>0</v>
      </c>
      <c r="E63" s="25">
        <f t="shared" si="3"/>
        <v>0</v>
      </c>
      <c r="F63" s="23">
        <v>0</v>
      </c>
      <c r="G63" s="23">
        <v>0</v>
      </c>
      <c r="H63" s="23">
        <v>0</v>
      </c>
      <c r="I63" s="23">
        <v>0</v>
      </c>
      <c r="J63" s="29">
        <f t="shared" si="4"/>
        <v>0</v>
      </c>
      <c r="K63" s="27">
        <f t="shared" si="5"/>
        <v>0</v>
      </c>
      <c r="L63" s="53" t="s">
        <v>176</v>
      </c>
      <c r="M63" s="54">
        <v>604</v>
      </c>
      <c r="N63" s="54" t="s">
        <v>265</v>
      </c>
      <c r="O63" s="34"/>
    </row>
    <row r="64" spans="1:15">
      <c r="A64" s="2" t="s">
        <v>54</v>
      </c>
      <c r="B64" s="21">
        <v>0</v>
      </c>
      <c r="C64" s="21">
        <v>0</v>
      </c>
      <c r="D64" s="21">
        <v>0</v>
      </c>
      <c r="E64" s="25">
        <f t="shared" si="3"/>
        <v>0</v>
      </c>
      <c r="F64" s="23">
        <v>0</v>
      </c>
      <c r="G64" s="23">
        <v>0</v>
      </c>
      <c r="H64" s="23">
        <v>0</v>
      </c>
      <c r="I64" s="23">
        <v>0</v>
      </c>
      <c r="J64" s="29">
        <f t="shared" si="4"/>
        <v>0</v>
      </c>
      <c r="K64" s="27">
        <f t="shared" si="5"/>
        <v>0</v>
      </c>
      <c r="L64" s="49" t="s">
        <v>182</v>
      </c>
      <c r="M64" s="50">
        <v>724</v>
      </c>
      <c r="N64" s="50" t="s">
        <v>267</v>
      </c>
      <c r="O64" s="34"/>
    </row>
    <row r="65" spans="1:15">
      <c r="A65" s="2" t="s">
        <v>56</v>
      </c>
      <c r="B65" s="21">
        <v>0</v>
      </c>
      <c r="C65" s="21">
        <v>0</v>
      </c>
      <c r="D65" s="21">
        <v>0</v>
      </c>
      <c r="E65" s="25">
        <f t="shared" si="3"/>
        <v>0</v>
      </c>
      <c r="F65" s="23">
        <v>0</v>
      </c>
      <c r="G65" s="23">
        <v>0</v>
      </c>
      <c r="H65" s="23">
        <v>0</v>
      </c>
      <c r="I65" s="23">
        <v>0</v>
      </c>
      <c r="J65" s="29">
        <f t="shared" si="4"/>
        <v>0</v>
      </c>
      <c r="K65" s="27">
        <f t="shared" si="5"/>
        <v>0</v>
      </c>
      <c r="L65" s="46" t="s">
        <v>186</v>
      </c>
      <c r="M65" s="47">
        <v>1015</v>
      </c>
      <c r="N65" s="47" t="s">
        <v>263</v>
      </c>
      <c r="O65" s="34"/>
    </row>
    <row r="66" spans="1:15">
      <c r="A66" s="2" t="s">
        <v>58</v>
      </c>
      <c r="B66" s="21">
        <v>0</v>
      </c>
      <c r="C66" s="21">
        <v>0</v>
      </c>
      <c r="D66" s="21">
        <v>0</v>
      </c>
      <c r="E66" s="25">
        <f t="shared" ref="E66:E97" si="6">SUMIF(B66:D66,"&lt;&gt;#N/A")</f>
        <v>0</v>
      </c>
      <c r="F66" s="23">
        <v>0</v>
      </c>
      <c r="G66" s="23">
        <v>0</v>
      </c>
      <c r="H66" s="23">
        <v>0</v>
      </c>
      <c r="I66" s="23">
        <v>0</v>
      </c>
      <c r="J66" s="29">
        <f t="shared" ref="J66:J97" si="7">SUMIF(F66:I66,"&lt;&gt;#N/A")</f>
        <v>0</v>
      </c>
      <c r="K66" s="27">
        <f t="shared" ref="K66:K97" si="8">SUM(E66,J66)</f>
        <v>0</v>
      </c>
      <c r="L66" s="58" t="s">
        <v>190</v>
      </c>
      <c r="M66" s="59">
        <v>551</v>
      </c>
      <c r="N66" s="59" t="s">
        <v>268</v>
      </c>
      <c r="O66" s="34"/>
    </row>
    <row r="67" spans="1:15">
      <c r="A67" s="2" t="s">
        <v>59</v>
      </c>
      <c r="B67" s="21">
        <v>0</v>
      </c>
      <c r="C67" s="21">
        <v>0</v>
      </c>
      <c r="D67" s="21">
        <v>0</v>
      </c>
      <c r="E67" s="25">
        <f t="shared" si="6"/>
        <v>0</v>
      </c>
      <c r="F67" s="23">
        <v>0</v>
      </c>
      <c r="G67" s="23">
        <v>0</v>
      </c>
      <c r="H67" s="23">
        <v>0</v>
      </c>
      <c r="I67" s="23">
        <v>0</v>
      </c>
      <c r="J67" s="29">
        <f t="shared" si="7"/>
        <v>0</v>
      </c>
      <c r="K67" s="27">
        <f t="shared" si="8"/>
        <v>0</v>
      </c>
      <c r="L67" s="58" t="s">
        <v>188</v>
      </c>
      <c r="M67" s="59">
        <v>508</v>
      </c>
      <c r="N67" s="59" t="s">
        <v>268</v>
      </c>
      <c r="O67" s="34"/>
    </row>
    <row r="68" spans="1:15">
      <c r="A68" s="2" t="s">
        <v>62</v>
      </c>
      <c r="B68" s="21">
        <v>0</v>
      </c>
      <c r="C68" s="21">
        <v>0</v>
      </c>
      <c r="D68" s="21">
        <v>0</v>
      </c>
      <c r="E68" s="25">
        <f t="shared" si="6"/>
        <v>0</v>
      </c>
      <c r="F68" s="23">
        <v>0</v>
      </c>
      <c r="G68" s="23">
        <v>0</v>
      </c>
      <c r="H68" s="23">
        <v>0</v>
      </c>
      <c r="I68" s="23">
        <v>0</v>
      </c>
      <c r="J68" s="29">
        <f t="shared" si="7"/>
        <v>0</v>
      </c>
      <c r="K68" s="27">
        <f t="shared" si="8"/>
        <v>0</v>
      </c>
      <c r="L68" s="51" t="s">
        <v>200</v>
      </c>
      <c r="M68" s="52">
        <v>675</v>
      </c>
      <c r="N68" s="52" t="s">
        <v>266</v>
      </c>
      <c r="O68" s="34"/>
    </row>
    <row r="69" spans="1:15">
      <c r="A69" s="2" t="s">
        <v>63</v>
      </c>
      <c r="B69" s="21">
        <v>0</v>
      </c>
      <c r="C69" s="21">
        <v>0</v>
      </c>
      <c r="D69" s="21">
        <v>0</v>
      </c>
      <c r="E69" s="25">
        <f t="shared" si="6"/>
        <v>0</v>
      </c>
      <c r="F69" s="23">
        <v>0</v>
      </c>
      <c r="G69" s="23">
        <v>0</v>
      </c>
      <c r="H69" s="23">
        <v>0</v>
      </c>
      <c r="I69" s="23">
        <v>0</v>
      </c>
      <c r="J69" s="29">
        <f t="shared" si="7"/>
        <v>0</v>
      </c>
      <c r="K69" s="27">
        <f t="shared" si="8"/>
        <v>0</v>
      </c>
      <c r="L69" s="46" t="s">
        <v>198</v>
      </c>
      <c r="M69" s="47">
        <v>1083</v>
      </c>
      <c r="N69" s="47" t="s">
        <v>263</v>
      </c>
      <c r="O69" s="34"/>
    </row>
    <row r="70" spans="1:15">
      <c r="A70" s="2" t="s">
        <v>64</v>
      </c>
      <c r="B70" s="21">
        <v>0</v>
      </c>
      <c r="C70" s="21">
        <v>0</v>
      </c>
      <c r="D70" s="21">
        <v>0</v>
      </c>
      <c r="E70" s="25">
        <f t="shared" si="6"/>
        <v>0</v>
      </c>
      <c r="F70" s="23">
        <v>0</v>
      </c>
      <c r="G70" s="23">
        <v>0</v>
      </c>
      <c r="H70" s="23">
        <v>0</v>
      </c>
      <c r="I70" s="23">
        <v>0</v>
      </c>
      <c r="J70" s="29">
        <f t="shared" si="7"/>
        <v>0</v>
      </c>
      <c r="K70" s="27">
        <f t="shared" si="8"/>
        <v>0</v>
      </c>
      <c r="L70" s="58" t="s">
        <v>202</v>
      </c>
      <c r="M70" s="59">
        <v>472</v>
      </c>
      <c r="N70" s="59" t="s">
        <v>268</v>
      </c>
      <c r="O70" s="34"/>
    </row>
    <row r="71" spans="1:15">
      <c r="A71" s="2" t="s">
        <v>66</v>
      </c>
      <c r="B71" s="21">
        <v>0</v>
      </c>
      <c r="C71" s="21">
        <v>0</v>
      </c>
      <c r="D71" s="21">
        <v>0</v>
      </c>
      <c r="E71" s="25">
        <f t="shared" si="6"/>
        <v>0</v>
      </c>
      <c r="F71" s="23">
        <v>0</v>
      </c>
      <c r="G71" s="23">
        <v>0</v>
      </c>
      <c r="H71" s="23">
        <v>0</v>
      </c>
      <c r="I71" s="23">
        <v>0</v>
      </c>
      <c r="J71" s="29">
        <f t="shared" si="7"/>
        <v>0</v>
      </c>
      <c r="K71" s="27">
        <f t="shared" si="8"/>
        <v>0</v>
      </c>
      <c r="L71" s="53" t="s">
        <v>218</v>
      </c>
      <c r="M71" s="54">
        <v>581</v>
      </c>
      <c r="N71" s="54" t="s">
        <v>265</v>
      </c>
      <c r="O71" s="34"/>
    </row>
    <row r="72" spans="1:15">
      <c r="A72" s="2" t="s">
        <v>69</v>
      </c>
      <c r="B72" s="21">
        <v>0</v>
      </c>
      <c r="C72" s="21">
        <v>0</v>
      </c>
      <c r="D72" s="21">
        <v>0</v>
      </c>
      <c r="E72" s="25">
        <f t="shared" si="6"/>
        <v>0</v>
      </c>
      <c r="F72" s="23">
        <v>0</v>
      </c>
      <c r="G72" s="23">
        <v>0</v>
      </c>
      <c r="H72" s="23">
        <v>0</v>
      </c>
      <c r="I72" s="23">
        <v>0</v>
      </c>
      <c r="J72" s="29">
        <f t="shared" si="7"/>
        <v>0</v>
      </c>
      <c r="K72" s="27">
        <f t="shared" si="8"/>
        <v>0</v>
      </c>
      <c r="L72" s="51" t="s">
        <v>210</v>
      </c>
      <c r="M72" s="52">
        <v>635</v>
      </c>
      <c r="N72" s="52" t="s">
        <v>266</v>
      </c>
      <c r="O72" s="34"/>
    </row>
    <row r="73" spans="1:15">
      <c r="A73" s="2" t="s">
        <v>70</v>
      </c>
      <c r="B73" s="21">
        <v>0</v>
      </c>
      <c r="C73" s="21">
        <v>0</v>
      </c>
      <c r="D73" s="21">
        <v>0</v>
      </c>
      <c r="E73" s="25">
        <f t="shared" si="6"/>
        <v>0</v>
      </c>
      <c r="F73" s="23">
        <v>0</v>
      </c>
      <c r="G73" s="23">
        <v>0</v>
      </c>
      <c r="H73" s="23">
        <v>0</v>
      </c>
      <c r="I73" s="23">
        <v>0</v>
      </c>
      <c r="J73" s="29">
        <f t="shared" si="7"/>
        <v>0</v>
      </c>
      <c r="K73" s="27">
        <f t="shared" si="8"/>
        <v>0</v>
      </c>
      <c r="L73" s="58" t="s">
        <v>212</v>
      </c>
      <c r="M73" s="59">
        <v>530</v>
      </c>
      <c r="N73" s="59" t="s">
        <v>268</v>
      </c>
      <c r="O73" s="34"/>
    </row>
    <row r="74" spans="1:15">
      <c r="A74" s="2" t="s">
        <v>71</v>
      </c>
      <c r="B74" s="21">
        <v>0</v>
      </c>
      <c r="C74" s="21">
        <v>0</v>
      </c>
      <c r="D74" s="21">
        <v>0</v>
      </c>
      <c r="E74" s="25">
        <f t="shared" si="6"/>
        <v>0</v>
      </c>
      <c r="F74" s="23">
        <v>0</v>
      </c>
      <c r="G74" s="23">
        <v>0</v>
      </c>
      <c r="H74" s="23">
        <v>0</v>
      </c>
      <c r="I74" s="23">
        <v>0</v>
      </c>
      <c r="J74" s="29">
        <f t="shared" si="7"/>
        <v>0</v>
      </c>
      <c r="K74" s="27">
        <f t="shared" si="8"/>
        <v>0</v>
      </c>
      <c r="L74" s="58" t="s">
        <v>206</v>
      </c>
      <c r="M74" s="59">
        <v>540</v>
      </c>
      <c r="N74" s="59" t="s">
        <v>268</v>
      </c>
      <c r="O74" s="34"/>
    </row>
    <row r="75" spans="1:15">
      <c r="A75" s="2" t="s">
        <v>142</v>
      </c>
      <c r="B75" s="21" t="e">
        <v>#N/A</v>
      </c>
      <c r="C75" s="21">
        <v>0</v>
      </c>
      <c r="D75" s="21">
        <v>0</v>
      </c>
      <c r="E75" s="25">
        <f t="shared" si="6"/>
        <v>0</v>
      </c>
      <c r="F75" s="23" t="e">
        <v>#N/A</v>
      </c>
      <c r="G75" s="23" t="e">
        <v>#N/A</v>
      </c>
      <c r="H75" s="23" t="e">
        <v>#N/A</v>
      </c>
      <c r="I75" s="23" t="e">
        <v>#N/A</v>
      </c>
      <c r="J75" s="29">
        <f t="shared" si="7"/>
        <v>0</v>
      </c>
      <c r="K75" s="27">
        <f t="shared" si="8"/>
        <v>0</v>
      </c>
      <c r="L75" s="51" t="s">
        <v>214</v>
      </c>
      <c r="M75" s="52">
        <v>666</v>
      </c>
      <c r="N75" s="52" t="s">
        <v>266</v>
      </c>
      <c r="O75" s="34"/>
    </row>
    <row r="76" spans="1:15">
      <c r="A76" s="2" t="s">
        <v>73</v>
      </c>
      <c r="B76" s="21">
        <v>0</v>
      </c>
      <c r="C76" s="21">
        <v>0</v>
      </c>
      <c r="D76" s="21">
        <v>0</v>
      </c>
      <c r="E76" s="25">
        <f t="shared" si="6"/>
        <v>0</v>
      </c>
      <c r="F76" s="23">
        <v>0</v>
      </c>
      <c r="G76" s="23">
        <v>0</v>
      </c>
      <c r="H76" s="23">
        <v>0</v>
      </c>
      <c r="I76" s="23">
        <v>0</v>
      </c>
      <c r="J76" s="29">
        <f t="shared" si="7"/>
        <v>0</v>
      </c>
      <c r="K76" s="27">
        <f t="shared" si="8"/>
        <v>0</v>
      </c>
      <c r="L76" s="46" t="s">
        <v>222</v>
      </c>
      <c r="M76" s="47">
        <v>766</v>
      </c>
      <c r="N76" s="47" t="s">
        <v>263</v>
      </c>
      <c r="O76" s="34"/>
    </row>
    <row r="77" spans="1:15">
      <c r="A77" s="2" t="s">
        <v>74</v>
      </c>
      <c r="B77" s="21">
        <v>0</v>
      </c>
      <c r="C77" s="21">
        <v>0</v>
      </c>
      <c r="D77" s="21">
        <v>0</v>
      </c>
      <c r="E77" s="25">
        <f t="shared" si="6"/>
        <v>0</v>
      </c>
      <c r="F77" s="23">
        <v>0</v>
      </c>
      <c r="G77" s="23">
        <v>0</v>
      </c>
      <c r="H77" s="23">
        <v>0</v>
      </c>
      <c r="I77" s="23">
        <v>0</v>
      </c>
      <c r="J77" s="29">
        <f t="shared" si="7"/>
        <v>0</v>
      </c>
      <c r="K77" s="27">
        <f t="shared" si="8"/>
        <v>0</v>
      </c>
      <c r="L77" s="57" t="s">
        <v>224</v>
      </c>
      <c r="M77" s="57">
        <v>387</v>
      </c>
      <c r="N77" s="57" t="s">
        <v>264</v>
      </c>
      <c r="O77" s="34"/>
    </row>
    <row r="78" spans="1:15">
      <c r="A78" s="2" t="s">
        <v>76</v>
      </c>
      <c r="B78" s="21">
        <v>0</v>
      </c>
      <c r="C78" s="21">
        <v>0</v>
      </c>
      <c r="D78" s="21">
        <v>0</v>
      </c>
      <c r="E78" s="25">
        <f t="shared" si="6"/>
        <v>0</v>
      </c>
      <c r="F78" s="23">
        <v>0</v>
      </c>
      <c r="G78" s="23">
        <v>0</v>
      </c>
      <c r="H78" s="23">
        <v>0</v>
      </c>
      <c r="I78" s="23">
        <v>0</v>
      </c>
      <c r="J78" s="29">
        <f t="shared" si="7"/>
        <v>0</v>
      </c>
      <c r="K78" s="27">
        <f t="shared" si="8"/>
        <v>0</v>
      </c>
      <c r="L78" s="43" t="s">
        <v>256</v>
      </c>
      <c r="M78" s="44" t="e">
        <v>#N/A</v>
      </c>
      <c r="N78" s="44" t="e">
        <v>#N/A</v>
      </c>
      <c r="O78" s="34"/>
    </row>
    <row r="79" spans="1:15">
      <c r="A79" s="2" t="s">
        <v>77</v>
      </c>
      <c r="B79" s="21">
        <v>0</v>
      </c>
      <c r="C79" s="21">
        <v>0</v>
      </c>
      <c r="D79" s="21">
        <v>0</v>
      </c>
      <c r="E79" s="25">
        <f t="shared" si="6"/>
        <v>0</v>
      </c>
      <c r="F79" s="23">
        <v>0</v>
      </c>
      <c r="G79" s="23">
        <v>0</v>
      </c>
      <c r="H79" s="23">
        <v>0</v>
      </c>
      <c r="I79" s="23">
        <v>0</v>
      </c>
      <c r="J79" s="29">
        <f t="shared" si="7"/>
        <v>0</v>
      </c>
      <c r="K79" s="27">
        <f t="shared" si="8"/>
        <v>0</v>
      </c>
      <c r="L79" s="53" t="s">
        <v>228</v>
      </c>
      <c r="M79" s="54">
        <v>600</v>
      </c>
      <c r="N79" s="54" t="s">
        <v>265</v>
      </c>
      <c r="O79" s="34"/>
    </row>
    <row r="80" spans="1:15">
      <c r="A80" s="2" t="s">
        <v>78</v>
      </c>
      <c r="B80" s="21">
        <v>0</v>
      </c>
      <c r="C80" s="21">
        <v>0</v>
      </c>
      <c r="D80" s="21">
        <v>0</v>
      </c>
      <c r="E80" s="25">
        <f t="shared" si="6"/>
        <v>0</v>
      </c>
      <c r="F80" s="23">
        <v>0</v>
      </c>
      <c r="G80" s="23">
        <v>0</v>
      </c>
      <c r="H80" s="23">
        <v>0</v>
      </c>
      <c r="I80" s="23">
        <v>0</v>
      </c>
      <c r="J80" s="29">
        <f t="shared" si="7"/>
        <v>0</v>
      </c>
      <c r="K80" s="27">
        <f t="shared" si="8"/>
        <v>0</v>
      </c>
      <c r="L80" s="49" t="s">
        <v>230</v>
      </c>
      <c r="M80" s="50">
        <v>765</v>
      </c>
      <c r="N80" s="50" t="s">
        <v>267</v>
      </c>
      <c r="O80" s="34"/>
    </row>
    <row r="81" spans="1:15">
      <c r="A81" s="2" t="s">
        <v>79</v>
      </c>
      <c r="B81" s="21">
        <v>0</v>
      </c>
      <c r="C81" s="21">
        <v>0</v>
      </c>
      <c r="D81" s="21">
        <v>0</v>
      </c>
      <c r="E81" s="25">
        <f t="shared" si="6"/>
        <v>0</v>
      </c>
      <c r="F81" s="23">
        <v>0</v>
      </c>
      <c r="G81" s="23">
        <v>0</v>
      </c>
      <c r="H81" s="23">
        <v>0</v>
      </c>
      <c r="I81" s="23">
        <v>0</v>
      </c>
      <c r="J81" s="29">
        <f t="shared" si="7"/>
        <v>0</v>
      </c>
      <c r="K81" s="27">
        <f t="shared" si="8"/>
        <v>0</v>
      </c>
      <c r="L81" s="51" t="s">
        <v>232</v>
      </c>
      <c r="M81" s="52">
        <v>670</v>
      </c>
      <c r="N81" s="52" t="s">
        <v>266</v>
      </c>
      <c r="O81" s="34"/>
    </row>
    <row r="82" spans="1:15">
      <c r="A82" s="2" t="s">
        <v>82</v>
      </c>
      <c r="B82" s="21">
        <v>0</v>
      </c>
      <c r="C82" s="21">
        <v>0</v>
      </c>
      <c r="D82" s="21">
        <v>0</v>
      </c>
      <c r="E82" s="25">
        <f t="shared" si="6"/>
        <v>0</v>
      </c>
      <c r="F82" s="23">
        <v>0</v>
      </c>
      <c r="G82" s="23">
        <v>0</v>
      </c>
      <c r="H82" s="23">
        <v>0</v>
      </c>
      <c r="I82" s="23">
        <v>0</v>
      </c>
      <c r="J82" s="29">
        <f t="shared" si="7"/>
        <v>0</v>
      </c>
      <c r="K82" s="27">
        <f t="shared" si="8"/>
        <v>0</v>
      </c>
      <c r="L82" s="53" t="s">
        <v>238</v>
      </c>
      <c r="M82" s="54">
        <v>555</v>
      </c>
      <c r="N82" s="54" t="s">
        <v>265</v>
      </c>
      <c r="O82" s="34"/>
    </row>
    <row r="83" spans="1:15">
      <c r="A83" s="2" t="s">
        <v>83</v>
      </c>
      <c r="B83" s="21">
        <v>0</v>
      </c>
      <c r="C83" s="21">
        <v>0</v>
      </c>
      <c r="D83" s="21">
        <v>0</v>
      </c>
      <c r="E83" s="25">
        <f t="shared" si="6"/>
        <v>0</v>
      </c>
      <c r="F83" s="23">
        <v>0</v>
      </c>
      <c r="G83" s="23">
        <v>0</v>
      </c>
      <c r="H83" s="23">
        <v>0</v>
      </c>
      <c r="I83" s="23">
        <v>0</v>
      </c>
      <c r="J83" s="29">
        <f t="shared" si="7"/>
        <v>0</v>
      </c>
      <c r="K83" s="27">
        <f t="shared" si="8"/>
        <v>0</v>
      </c>
      <c r="L83" s="53" t="s">
        <v>242</v>
      </c>
      <c r="M83" s="54">
        <v>592</v>
      </c>
      <c r="N83" s="54" t="s">
        <v>265</v>
      </c>
      <c r="O83" s="34"/>
    </row>
    <row r="84" spans="1:15">
      <c r="A84" s="2" t="s">
        <v>84</v>
      </c>
      <c r="B84" s="21">
        <v>0</v>
      </c>
      <c r="C84" s="21">
        <v>0</v>
      </c>
      <c r="D84" s="21">
        <v>0</v>
      </c>
      <c r="E84" s="25">
        <f t="shared" si="6"/>
        <v>0</v>
      </c>
      <c r="F84" s="23">
        <v>0</v>
      </c>
      <c r="G84" s="23" t="e">
        <v>#N/A</v>
      </c>
      <c r="H84" s="23" t="e">
        <v>#N/A</v>
      </c>
      <c r="I84" s="23" t="e">
        <v>#N/A</v>
      </c>
      <c r="J84" s="29">
        <f t="shared" si="7"/>
        <v>0</v>
      </c>
      <c r="K84" s="27">
        <f t="shared" si="8"/>
        <v>0</v>
      </c>
      <c r="L84" s="45" t="s">
        <v>258</v>
      </c>
      <c r="M84" s="44" t="e">
        <v>#N/A</v>
      </c>
      <c r="N84" s="44" t="e">
        <v>#N/A</v>
      </c>
      <c r="O84" s="34"/>
    </row>
    <row r="85" spans="1:15">
      <c r="A85" s="2" t="s">
        <v>86</v>
      </c>
      <c r="B85" s="21">
        <v>0</v>
      </c>
      <c r="C85" s="21">
        <v>0</v>
      </c>
      <c r="D85" s="21">
        <v>0</v>
      </c>
      <c r="E85" s="25">
        <f t="shared" si="6"/>
        <v>0</v>
      </c>
      <c r="F85" s="23">
        <v>0</v>
      </c>
      <c r="G85" s="23">
        <v>0</v>
      </c>
      <c r="H85" s="23">
        <v>0</v>
      </c>
      <c r="I85" s="23">
        <v>0</v>
      </c>
      <c r="J85" s="29">
        <f t="shared" si="7"/>
        <v>0</v>
      </c>
      <c r="K85" s="27">
        <f t="shared" si="8"/>
        <v>0</v>
      </c>
      <c r="L85" s="57" t="s">
        <v>244</v>
      </c>
      <c r="M85" s="57">
        <v>389</v>
      </c>
      <c r="N85" s="57" t="s">
        <v>264</v>
      </c>
      <c r="O85" s="34"/>
    </row>
    <row r="86" spans="1:15">
      <c r="A86" s="2" t="s">
        <v>88</v>
      </c>
      <c r="B86" s="21">
        <v>0</v>
      </c>
      <c r="C86" s="21">
        <v>0</v>
      </c>
      <c r="D86" s="21">
        <v>0</v>
      </c>
      <c r="E86" s="25">
        <f t="shared" si="6"/>
        <v>0</v>
      </c>
      <c r="F86" s="23">
        <v>0</v>
      </c>
      <c r="G86" s="23">
        <v>0</v>
      </c>
      <c r="H86" s="23">
        <v>0</v>
      </c>
      <c r="I86" s="23">
        <v>0</v>
      </c>
      <c r="J86" s="29">
        <f t="shared" si="7"/>
        <v>0</v>
      </c>
      <c r="K86" s="27">
        <f t="shared" si="8"/>
        <v>0</v>
      </c>
      <c r="L86" s="48" t="s">
        <v>246</v>
      </c>
      <c r="M86" s="47">
        <v>1022</v>
      </c>
      <c r="N86" s="47" t="s">
        <v>263</v>
      </c>
      <c r="O86" s="34"/>
    </row>
    <row r="87" spans="1:15">
      <c r="A87" s="2" t="s">
        <v>89</v>
      </c>
      <c r="B87" s="21">
        <v>0</v>
      </c>
      <c r="C87" s="21">
        <v>0</v>
      </c>
      <c r="D87" s="21">
        <v>0</v>
      </c>
      <c r="E87" s="25">
        <f t="shared" si="6"/>
        <v>0</v>
      </c>
      <c r="F87" s="23">
        <v>0</v>
      </c>
      <c r="G87" s="23">
        <v>0</v>
      </c>
      <c r="H87" s="23">
        <v>0</v>
      </c>
      <c r="I87" s="23" t="e">
        <v>#N/A</v>
      </c>
      <c r="J87" s="29">
        <f t="shared" si="7"/>
        <v>0</v>
      </c>
      <c r="K87" s="27">
        <f t="shared" si="8"/>
        <v>0</v>
      </c>
      <c r="L87" s="55" t="s">
        <v>250</v>
      </c>
      <c r="M87" s="54">
        <v>619</v>
      </c>
      <c r="N87" s="54" t="s">
        <v>265</v>
      </c>
      <c r="O87" s="34"/>
    </row>
    <row r="88" spans="1:15">
      <c r="A88" s="2" t="s">
        <v>4</v>
      </c>
      <c r="B88" s="21">
        <v>0</v>
      </c>
      <c r="C88" s="21">
        <v>0</v>
      </c>
      <c r="D88" s="21">
        <v>0</v>
      </c>
      <c r="E88" s="25">
        <f t="shared" si="6"/>
        <v>0</v>
      </c>
      <c r="F88" s="23" t="e">
        <v>#N/A</v>
      </c>
      <c r="G88" s="23" t="e">
        <v>#N/A</v>
      </c>
      <c r="H88" s="23" t="e">
        <v>#N/A</v>
      </c>
      <c r="I88" s="23" t="e">
        <v>#N/A</v>
      </c>
      <c r="J88" s="29">
        <f t="shared" si="7"/>
        <v>0</v>
      </c>
      <c r="K88" s="27">
        <f t="shared" si="8"/>
        <v>0</v>
      </c>
      <c r="L88" s="40"/>
      <c r="M88" s="40"/>
      <c r="N88" s="40"/>
      <c r="O88" s="34"/>
    </row>
    <row r="89" spans="1:15">
      <c r="A89" s="2" t="s">
        <v>5</v>
      </c>
      <c r="B89" s="21">
        <v>0</v>
      </c>
      <c r="C89" s="21">
        <v>0</v>
      </c>
      <c r="D89" s="21">
        <v>0</v>
      </c>
      <c r="E89" s="25">
        <f t="shared" si="6"/>
        <v>0</v>
      </c>
      <c r="F89" s="23" t="e">
        <v>#N/A</v>
      </c>
      <c r="G89" s="23" t="e">
        <v>#N/A</v>
      </c>
      <c r="H89" s="23" t="e">
        <v>#N/A</v>
      </c>
      <c r="I89" s="23" t="e">
        <v>#N/A</v>
      </c>
      <c r="J89" s="29">
        <f t="shared" si="7"/>
        <v>0</v>
      </c>
      <c r="K89" s="27">
        <f t="shared" si="8"/>
        <v>0</v>
      </c>
      <c r="L89" s="40"/>
      <c r="M89" s="40"/>
      <c r="N89" s="40"/>
      <c r="O89" s="34"/>
    </row>
    <row r="90" spans="1:15">
      <c r="A90" s="2" t="s">
        <v>6</v>
      </c>
      <c r="B90" s="21">
        <v>0</v>
      </c>
      <c r="C90" s="21">
        <v>0</v>
      </c>
      <c r="D90" s="21">
        <v>0</v>
      </c>
      <c r="E90" s="25">
        <f t="shared" si="6"/>
        <v>0</v>
      </c>
      <c r="F90" s="23" t="e">
        <v>#N/A</v>
      </c>
      <c r="G90" s="23" t="e">
        <v>#N/A</v>
      </c>
      <c r="H90" s="23" t="e">
        <v>#N/A</v>
      </c>
      <c r="I90" s="23" t="e">
        <v>#N/A</v>
      </c>
      <c r="J90" s="29">
        <f t="shared" si="7"/>
        <v>0</v>
      </c>
      <c r="K90" s="27">
        <f t="shared" si="8"/>
        <v>0</v>
      </c>
      <c r="L90" s="40"/>
      <c r="M90" s="40"/>
      <c r="N90" s="40"/>
      <c r="O90" s="34"/>
    </row>
    <row r="91" spans="1:15">
      <c r="A91" s="2" t="s">
        <v>7</v>
      </c>
      <c r="B91" s="21">
        <v>0</v>
      </c>
      <c r="C91" s="21">
        <v>0</v>
      </c>
      <c r="D91" s="21">
        <v>0</v>
      </c>
      <c r="E91" s="25">
        <f t="shared" si="6"/>
        <v>0</v>
      </c>
      <c r="F91" s="23" t="e">
        <v>#N/A</v>
      </c>
      <c r="G91" s="23" t="e">
        <v>#N/A</v>
      </c>
      <c r="H91" s="23" t="e">
        <v>#N/A</v>
      </c>
      <c r="I91" s="23" t="e">
        <v>#N/A</v>
      </c>
      <c r="J91" s="29">
        <f t="shared" si="7"/>
        <v>0</v>
      </c>
      <c r="K91" s="27">
        <f t="shared" si="8"/>
        <v>0</v>
      </c>
      <c r="L91" s="40"/>
      <c r="M91" s="40"/>
      <c r="N91" s="40"/>
      <c r="O91" s="34"/>
    </row>
    <row r="92" spans="1:15">
      <c r="A92" s="2" t="s">
        <v>8</v>
      </c>
      <c r="B92" s="21">
        <v>0</v>
      </c>
      <c r="C92" s="21">
        <v>0</v>
      </c>
      <c r="D92" s="21">
        <v>0</v>
      </c>
      <c r="E92" s="25">
        <f t="shared" si="6"/>
        <v>0</v>
      </c>
      <c r="F92" s="23" t="e">
        <v>#N/A</v>
      </c>
      <c r="G92" s="23" t="e">
        <v>#N/A</v>
      </c>
      <c r="H92" s="23" t="e">
        <v>#N/A</v>
      </c>
      <c r="I92" s="23" t="e">
        <v>#N/A</v>
      </c>
      <c r="J92" s="29">
        <f t="shared" si="7"/>
        <v>0</v>
      </c>
      <c r="K92" s="27">
        <f t="shared" si="8"/>
        <v>0</v>
      </c>
      <c r="L92" s="40"/>
      <c r="M92" s="40"/>
      <c r="N92" s="40"/>
      <c r="O92" s="34"/>
    </row>
    <row r="93" spans="1:15">
      <c r="A93" s="2" t="s">
        <v>9</v>
      </c>
      <c r="B93" s="21">
        <v>0</v>
      </c>
      <c r="C93" s="21">
        <v>0</v>
      </c>
      <c r="D93" s="21">
        <v>0</v>
      </c>
      <c r="E93" s="25">
        <f t="shared" si="6"/>
        <v>0</v>
      </c>
      <c r="F93" s="23" t="e">
        <v>#N/A</v>
      </c>
      <c r="G93" s="23" t="e">
        <v>#N/A</v>
      </c>
      <c r="H93" s="23" t="e">
        <v>#N/A</v>
      </c>
      <c r="I93" s="23" t="e">
        <v>#N/A</v>
      </c>
      <c r="J93" s="29">
        <f t="shared" si="7"/>
        <v>0</v>
      </c>
      <c r="K93" s="27">
        <f t="shared" si="8"/>
        <v>0</v>
      </c>
      <c r="L93" s="40"/>
      <c r="M93" s="40"/>
      <c r="N93" s="40"/>
      <c r="O93" s="34"/>
    </row>
    <row r="94" spans="1:15">
      <c r="A94" s="2" t="s">
        <v>10</v>
      </c>
      <c r="B94" s="21">
        <v>0</v>
      </c>
      <c r="C94" s="21">
        <v>0</v>
      </c>
      <c r="D94" s="21">
        <v>0</v>
      </c>
      <c r="E94" s="25">
        <f t="shared" si="6"/>
        <v>0</v>
      </c>
      <c r="F94" s="23" t="e">
        <v>#N/A</v>
      </c>
      <c r="G94" s="23" t="e">
        <v>#N/A</v>
      </c>
      <c r="H94" s="23" t="e">
        <v>#N/A</v>
      </c>
      <c r="I94" s="23" t="e">
        <v>#N/A</v>
      </c>
      <c r="J94" s="29">
        <f t="shared" si="7"/>
        <v>0</v>
      </c>
      <c r="K94" s="27">
        <f t="shared" si="8"/>
        <v>0</v>
      </c>
      <c r="L94" s="40"/>
      <c r="M94" s="40"/>
      <c r="N94" s="40"/>
      <c r="O94" s="34"/>
    </row>
    <row r="95" spans="1:15">
      <c r="A95" s="2" t="s">
        <v>12</v>
      </c>
      <c r="B95" s="21">
        <v>0</v>
      </c>
      <c r="C95" s="21">
        <v>0</v>
      </c>
      <c r="D95" s="21">
        <v>0</v>
      </c>
      <c r="E95" s="25">
        <f t="shared" si="6"/>
        <v>0</v>
      </c>
      <c r="F95" s="23" t="e">
        <v>#N/A</v>
      </c>
      <c r="G95" s="23" t="e">
        <v>#N/A</v>
      </c>
      <c r="H95" s="23" t="e">
        <v>#N/A</v>
      </c>
      <c r="I95" s="23" t="e">
        <v>#N/A</v>
      </c>
      <c r="J95" s="29">
        <f t="shared" si="7"/>
        <v>0</v>
      </c>
      <c r="K95" s="27">
        <f t="shared" si="8"/>
        <v>0</v>
      </c>
      <c r="L95" s="40"/>
      <c r="M95" s="40"/>
      <c r="N95" s="40"/>
      <c r="O95" s="34"/>
    </row>
    <row r="96" spans="1:15">
      <c r="A96" s="2" t="s">
        <v>13</v>
      </c>
      <c r="B96" s="21">
        <v>0</v>
      </c>
      <c r="C96" s="21">
        <v>0</v>
      </c>
      <c r="D96" s="21">
        <v>0</v>
      </c>
      <c r="E96" s="25">
        <f t="shared" si="6"/>
        <v>0</v>
      </c>
      <c r="F96" s="23" t="e">
        <v>#N/A</v>
      </c>
      <c r="G96" s="23" t="e">
        <v>#N/A</v>
      </c>
      <c r="H96" s="23" t="e">
        <v>#N/A</v>
      </c>
      <c r="I96" s="23" t="e">
        <v>#N/A</v>
      </c>
      <c r="J96" s="29">
        <f t="shared" si="7"/>
        <v>0</v>
      </c>
      <c r="K96" s="27">
        <f t="shared" si="8"/>
        <v>0</v>
      </c>
      <c r="L96" s="40"/>
      <c r="M96" s="40"/>
      <c r="N96" s="40"/>
      <c r="O96" s="34"/>
    </row>
    <row r="97" spans="1:15">
      <c r="A97" s="2" t="s">
        <v>14</v>
      </c>
      <c r="B97" s="21">
        <v>0</v>
      </c>
      <c r="C97" s="21">
        <v>0</v>
      </c>
      <c r="D97" s="21">
        <v>0</v>
      </c>
      <c r="E97" s="25">
        <f t="shared" si="6"/>
        <v>0</v>
      </c>
      <c r="F97" s="23" t="e">
        <v>#N/A</v>
      </c>
      <c r="G97" s="23" t="e">
        <v>#N/A</v>
      </c>
      <c r="H97" s="23" t="e">
        <v>#N/A</v>
      </c>
      <c r="I97" s="23" t="e">
        <v>#N/A</v>
      </c>
      <c r="J97" s="29">
        <f t="shared" si="7"/>
        <v>0</v>
      </c>
      <c r="K97" s="27">
        <f t="shared" si="8"/>
        <v>0</v>
      </c>
      <c r="L97" s="40"/>
      <c r="M97" s="40"/>
      <c r="N97" s="40"/>
      <c r="O97" s="34"/>
    </row>
    <row r="98" spans="1:15">
      <c r="A98" s="2" t="s">
        <v>15</v>
      </c>
      <c r="B98" s="21">
        <v>0</v>
      </c>
      <c r="C98" s="21">
        <v>0</v>
      </c>
      <c r="D98" s="21">
        <v>0</v>
      </c>
      <c r="E98" s="25">
        <f t="shared" ref="E98" si="9">SUMIF(B98:D98,"&lt;&gt;#N/A")</f>
        <v>0</v>
      </c>
      <c r="F98" s="23" t="e">
        <v>#N/A</v>
      </c>
      <c r="G98" s="23" t="e">
        <v>#N/A</v>
      </c>
      <c r="H98" s="23" t="e">
        <v>#N/A</v>
      </c>
      <c r="I98" s="23" t="e">
        <v>#N/A</v>
      </c>
      <c r="J98" s="29">
        <f t="shared" ref="J98" si="10">SUMIF(F98:I98,"&lt;&gt;#N/A")</f>
        <v>0</v>
      </c>
      <c r="K98" s="27">
        <f t="shared" ref="K98" si="11">SUM(E98,J98)</f>
        <v>0</v>
      </c>
      <c r="L98" s="40"/>
      <c r="M98" s="40"/>
      <c r="N98" s="40"/>
      <c r="O98" s="34"/>
    </row>
  </sheetData>
  <autoFilter ref="A1:O98" xr:uid="{1CD03E1D-6DB5-8D45-9F1B-39EA21698C27}">
    <sortState xmlns:xlrd2="http://schemas.microsoft.com/office/spreadsheetml/2017/richdata2" ref="A2:O98">
      <sortCondition descending="1" ref="K1:K98"/>
    </sortState>
  </autoFilter>
  <sortState xmlns:xlrd2="http://schemas.microsoft.com/office/spreadsheetml/2017/richdata2" ref="A2:K98">
    <sortCondition descending="1" ref="K2:K98"/>
    <sortCondition descending="1" ref="E2:E98"/>
    <sortCondition descending="1" ref="J2:J98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8F97-5B89-9848-9492-260A314D5499}">
  <dimension ref="A9:I116"/>
  <sheetViews>
    <sheetView topLeftCell="A38" zoomScale="163" workbookViewId="0">
      <selection activeCell="E50" sqref="E50"/>
    </sheetView>
  </sheetViews>
  <sheetFormatPr baseColWidth="10" defaultRowHeight="15"/>
  <cols>
    <col min="1" max="1" width="19.5" customWidth="1"/>
  </cols>
  <sheetData>
    <row r="9" spans="9:9">
      <c r="I9" t="s">
        <v>151</v>
      </c>
    </row>
    <row r="37" spans="1:3" ht="16">
      <c r="A37" s="10" t="s">
        <v>116</v>
      </c>
      <c r="B37" s="10" t="s">
        <v>117</v>
      </c>
    </row>
    <row r="38" spans="1:3" ht="16">
      <c r="A38" s="10" t="s">
        <v>118</v>
      </c>
      <c r="B38" s="10" t="s">
        <v>119</v>
      </c>
    </row>
    <row r="39" spans="1:3" ht="16">
      <c r="A39" s="10" t="s">
        <v>120</v>
      </c>
      <c r="B39" s="10" t="s">
        <v>121</v>
      </c>
    </row>
    <row r="40" spans="1:3" ht="16">
      <c r="A40" s="10" t="s">
        <v>122</v>
      </c>
      <c r="B40" s="10" t="s">
        <v>123</v>
      </c>
    </row>
    <row r="41" spans="1:3" ht="16">
      <c r="A41" s="10" t="s">
        <v>124</v>
      </c>
      <c r="B41" s="10" t="s">
        <v>124</v>
      </c>
    </row>
    <row r="42" spans="1:3" ht="16">
      <c r="A42" s="10" t="s">
        <v>125</v>
      </c>
      <c r="B42" s="10" t="s">
        <v>126</v>
      </c>
    </row>
    <row r="46" spans="1:3">
      <c r="A46" s="38"/>
      <c r="B46" s="38"/>
      <c r="C46" s="35"/>
    </row>
    <row r="47" spans="1:3">
      <c r="A47" s="37"/>
      <c r="B47" s="37"/>
      <c r="C47" s="36"/>
    </row>
    <row r="48" spans="1:3">
      <c r="A48" s="37"/>
      <c r="B48" s="37"/>
      <c r="C48" s="36"/>
    </row>
    <row r="49" spans="1:3">
      <c r="A49" s="37"/>
      <c r="B49" s="37"/>
      <c r="C49" s="36"/>
    </row>
    <row r="50" spans="1:3">
      <c r="A50" s="37"/>
      <c r="B50" s="37"/>
      <c r="C50" s="36"/>
    </row>
    <row r="51" spans="1:3">
      <c r="A51" s="37"/>
      <c r="B51" s="37"/>
      <c r="C51" s="36"/>
    </row>
    <row r="52" spans="1:3">
      <c r="A52" s="37"/>
      <c r="B52" s="37"/>
      <c r="C52" s="36"/>
    </row>
    <row r="53" spans="1:3">
      <c r="A53" s="37"/>
      <c r="B53" s="37"/>
      <c r="C53" s="36"/>
    </row>
    <row r="54" spans="1:3">
      <c r="A54" s="37"/>
      <c r="B54" s="37"/>
      <c r="C54" s="36"/>
    </row>
    <row r="55" spans="1:3">
      <c r="A55" s="37"/>
      <c r="B55" s="37"/>
    </row>
    <row r="56" spans="1:3">
      <c r="A56" s="37"/>
      <c r="B56" s="37"/>
      <c r="C56" s="36"/>
    </row>
    <row r="57" spans="1:3">
      <c r="A57" s="37"/>
      <c r="B57" s="37"/>
      <c r="C57" s="36"/>
    </row>
    <row r="58" spans="1:3">
      <c r="A58" s="37"/>
      <c r="B58" s="37"/>
      <c r="C58" s="36"/>
    </row>
    <row r="59" spans="1:3">
      <c r="A59" s="37"/>
      <c r="B59" s="37"/>
      <c r="C59" s="36"/>
    </row>
    <row r="60" spans="1:3">
      <c r="A60" s="37"/>
      <c r="B60" s="37"/>
      <c r="C60" s="36"/>
    </row>
    <row r="61" spans="1:3">
      <c r="A61" s="37"/>
      <c r="B61" s="37"/>
      <c r="C61" s="36"/>
    </row>
    <row r="62" spans="1:3">
      <c r="A62" s="37"/>
      <c r="B62" s="37"/>
      <c r="C62" s="36"/>
    </row>
    <row r="63" spans="1:3">
      <c r="A63" s="37"/>
      <c r="B63" s="37"/>
      <c r="C63" s="36"/>
    </row>
    <row r="64" spans="1:3">
      <c r="A64" s="37"/>
      <c r="B64" s="37"/>
      <c r="C64" s="36"/>
    </row>
    <row r="65" spans="1:3">
      <c r="A65" s="37"/>
      <c r="B65" s="37"/>
      <c r="C65" s="36"/>
    </row>
    <row r="66" spans="1:3">
      <c r="A66" s="37"/>
      <c r="B66" s="37"/>
      <c r="C66" s="36"/>
    </row>
    <row r="67" spans="1:3">
      <c r="A67" s="37"/>
      <c r="B67" s="37"/>
      <c r="C67" s="36"/>
    </row>
    <row r="68" spans="1:3">
      <c r="A68" s="37"/>
      <c r="B68" s="37"/>
      <c r="C68" s="36"/>
    </row>
    <row r="69" spans="1:3">
      <c r="A69" s="37"/>
      <c r="B69" s="37"/>
    </row>
    <row r="70" spans="1:3">
      <c r="A70" s="37"/>
      <c r="B70" s="37"/>
      <c r="C70" s="36"/>
    </row>
    <row r="71" spans="1:3">
      <c r="A71" s="37"/>
      <c r="B71" s="37"/>
      <c r="C71" s="36"/>
    </row>
    <row r="72" spans="1:3">
      <c r="A72" s="37"/>
      <c r="B72" s="37"/>
      <c r="C72" s="36"/>
    </row>
    <row r="73" spans="1:3">
      <c r="A73" s="37"/>
      <c r="B73" s="37"/>
      <c r="C73" s="36"/>
    </row>
    <row r="74" spans="1:3">
      <c r="A74" s="37"/>
      <c r="B74" s="37"/>
      <c r="C74" s="36"/>
    </row>
    <row r="75" spans="1:3">
      <c r="A75" s="37"/>
      <c r="B75" s="37"/>
      <c r="C75" s="36"/>
    </row>
    <row r="76" spans="1:3">
      <c r="A76" s="37"/>
      <c r="B76" s="37"/>
      <c r="C76" s="36"/>
    </row>
    <row r="77" spans="1:3">
      <c r="A77" s="37"/>
      <c r="B77" s="37"/>
      <c r="C77" s="36"/>
    </row>
    <row r="78" spans="1:3">
      <c r="A78" s="37"/>
      <c r="B78" s="37"/>
      <c r="C78" s="36"/>
    </row>
    <row r="79" spans="1:3">
      <c r="A79" s="37"/>
      <c r="B79" s="37"/>
      <c r="C79" s="36"/>
    </row>
    <row r="80" spans="1:3">
      <c r="A80" s="37"/>
      <c r="B80" s="37"/>
      <c r="C80" s="36"/>
    </row>
    <row r="81" spans="1:3">
      <c r="A81" s="37"/>
      <c r="B81" s="37"/>
      <c r="C81" s="36"/>
    </row>
    <row r="82" spans="1:3">
      <c r="A82" s="37"/>
      <c r="B82" s="37"/>
      <c r="C82" s="36"/>
    </row>
    <row r="83" spans="1:3">
      <c r="A83" s="37"/>
      <c r="B83" s="37"/>
    </row>
    <row r="84" spans="1:3">
      <c r="A84" s="37"/>
      <c r="B84" s="37"/>
      <c r="C84" s="36"/>
    </row>
    <row r="85" spans="1:3">
      <c r="A85" s="37"/>
      <c r="B85" s="37"/>
      <c r="C85" s="36"/>
    </row>
    <row r="86" spans="1:3">
      <c r="A86" s="37"/>
      <c r="B86" s="37"/>
      <c r="C86" s="36"/>
    </row>
    <row r="87" spans="1:3">
      <c r="A87" s="37"/>
      <c r="B87" s="37"/>
      <c r="C87" s="36"/>
    </row>
    <row r="88" spans="1:3">
      <c r="A88" s="37"/>
      <c r="B88" s="37"/>
      <c r="C88" s="36"/>
    </row>
    <row r="89" spans="1:3">
      <c r="A89" s="37"/>
      <c r="B89" s="37"/>
      <c r="C89" s="36"/>
    </row>
    <row r="90" spans="1:3">
      <c r="A90" s="37"/>
      <c r="B90" s="37"/>
      <c r="C90" s="36"/>
    </row>
    <row r="91" spans="1:3">
      <c r="A91" s="37"/>
      <c r="B91" s="37"/>
      <c r="C91" s="36"/>
    </row>
    <row r="92" spans="1:3">
      <c r="A92" s="37"/>
      <c r="B92" s="37"/>
      <c r="C92" s="36"/>
    </row>
    <row r="93" spans="1:3">
      <c r="A93" s="37"/>
      <c r="B93" s="37"/>
      <c r="C93" s="36"/>
    </row>
    <row r="94" spans="1:3">
      <c r="A94" s="37"/>
      <c r="B94" s="37"/>
      <c r="C94" s="36"/>
    </row>
    <row r="95" spans="1:3">
      <c r="A95" s="37"/>
      <c r="B95" s="37"/>
      <c r="C95" s="36"/>
    </row>
    <row r="96" spans="1:3">
      <c r="A96" s="37"/>
      <c r="B96" s="37"/>
      <c r="C96" s="36"/>
    </row>
    <row r="97" spans="1:3">
      <c r="A97" s="37"/>
      <c r="B97" s="37"/>
    </row>
    <row r="98" spans="1:3">
      <c r="A98" s="37"/>
      <c r="B98" s="37"/>
      <c r="C98" s="36"/>
    </row>
    <row r="99" spans="1:3">
      <c r="A99" s="37"/>
      <c r="B99" s="37"/>
      <c r="C99" s="36"/>
    </row>
    <row r="100" spans="1:3">
      <c r="A100" s="37"/>
      <c r="B100" s="37"/>
      <c r="C100" s="36"/>
    </row>
    <row r="101" spans="1:3">
      <c r="A101" s="37"/>
      <c r="B101" s="37"/>
    </row>
    <row r="102" spans="1:3">
      <c r="A102" s="37"/>
      <c r="B102" s="37"/>
      <c r="C102" s="36"/>
    </row>
    <row r="103" spans="1:3">
      <c r="A103" s="37"/>
      <c r="B103" s="37"/>
      <c r="C103" s="36"/>
    </row>
    <row r="104" spans="1:3">
      <c r="A104" s="37"/>
      <c r="B104" s="37"/>
      <c r="C104" s="36"/>
    </row>
    <row r="105" spans="1:3">
      <c r="A105" s="37"/>
      <c r="B105" s="37"/>
      <c r="C105" s="36"/>
    </row>
    <row r="106" spans="1:3">
      <c r="A106" s="37"/>
      <c r="B106" s="37"/>
      <c r="C106" s="36"/>
    </row>
    <row r="107" spans="1:3">
      <c r="A107" s="37"/>
      <c r="B107" s="37"/>
    </row>
    <row r="108" spans="1:3">
      <c r="A108" s="37"/>
      <c r="B108" s="37"/>
    </row>
    <row r="109" spans="1:3">
      <c r="A109" s="38"/>
      <c r="B109" s="38"/>
    </row>
    <row r="110" spans="1:3">
      <c r="A110" s="37"/>
      <c r="B110" s="37"/>
    </row>
    <row r="111" spans="1:3">
      <c r="A111" s="37"/>
      <c r="B111" s="37"/>
    </row>
    <row r="112" spans="1:3">
      <c r="A112" s="37"/>
      <c r="B112" s="37"/>
    </row>
    <row r="113" spans="1:2">
      <c r="A113" s="37"/>
      <c r="B113" s="37"/>
    </row>
    <row r="114" spans="1:2">
      <c r="A114" s="37"/>
      <c r="B114" s="37"/>
    </row>
    <row r="115" spans="1:2">
      <c r="A115" s="37"/>
      <c r="B115" s="37"/>
    </row>
    <row r="116" spans="1:2">
      <c r="A116" s="37"/>
      <c r="B116" s="37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45C8-0F33-174F-B936-715CEA351E7C}">
  <dimension ref="A1:D62"/>
  <sheetViews>
    <sheetView workbookViewId="0">
      <selection activeCell="F15" sqref="F15"/>
    </sheetView>
  </sheetViews>
  <sheetFormatPr baseColWidth="10" defaultRowHeight="15"/>
  <cols>
    <col min="2" max="2" width="20.83203125" customWidth="1"/>
    <col min="3" max="3" width="19" style="42" customWidth="1"/>
    <col min="4" max="4" width="35.1640625" style="42" customWidth="1"/>
    <col min="6" max="6" width="20.1640625" customWidth="1"/>
  </cols>
  <sheetData>
    <row r="1" spans="1:4">
      <c r="A1" s="41" t="s">
        <v>269</v>
      </c>
      <c r="B1" s="41" t="s">
        <v>270</v>
      </c>
      <c r="C1" s="41" t="s">
        <v>271</v>
      </c>
      <c r="D1" s="41" t="s">
        <v>272</v>
      </c>
    </row>
    <row r="2" spans="1:4">
      <c r="A2" s="43" t="s">
        <v>273</v>
      </c>
      <c r="B2" s="43" t="s">
        <v>260</v>
      </c>
      <c r="C2" s="44" t="e">
        <v>#N/A</v>
      </c>
      <c r="D2" s="44" t="e">
        <v>#N/A</v>
      </c>
    </row>
    <row r="3" spans="1:4">
      <c r="A3" s="43" t="s">
        <v>262</v>
      </c>
      <c r="B3" s="43" t="s">
        <v>261</v>
      </c>
      <c r="C3" s="44" t="e">
        <v>#N/A</v>
      </c>
      <c r="D3" s="44" t="e">
        <v>#N/A</v>
      </c>
    </row>
    <row r="4" spans="1:4">
      <c r="A4" s="43" t="s">
        <v>255</v>
      </c>
      <c r="B4" s="43" t="s">
        <v>254</v>
      </c>
      <c r="C4" s="44" t="e">
        <v>#N/A</v>
      </c>
      <c r="D4" s="44" t="e">
        <v>#N/A</v>
      </c>
    </row>
    <row r="5" spans="1:4">
      <c r="A5" s="43" t="s">
        <v>257</v>
      </c>
      <c r="B5" s="43" t="s">
        <v>256</v>
      </c>
      <c r="C5" s="44" t="e">
        <v>#N/A</v>
      </c>
      <c r="D5" s="44" t="e">
        <v>#N/A</v>
      </c>
    </row>
    <row r="6" spans="1:4">
      <c r="A6" s="45" t="s">
        <v>259</v>
      </c>
      <c r="B6" s="45" t="s">
        <v>258</v>
      </c>
      <c r="C6" s="44" t="e">
        <v>#N/A</v>
      </c>
      <c r="D6" s="44" t="e">
        <v>#N/A</v>
      </c>
    </row>
    <row r="7" spans="1:4">
      <c r="A7" s="46" t="s">
        <v>153</v>
      </c>
      <c r="B7" s="46" t="s">
        <v>152</v>
      </c>
      <c r="C7" s="47">
        <v>985</v>
      </c>
      <c r="D7" s="47" t="s">
        <v>263</v>
      </c>
    </row>
    <row r="8" spans="1:4">
      <c r="A8" s="46" t="s">
        <v>159</v>
      </c>
      <c r="B8" s="46" t="s">
        <v>158</v>
      </c>
      <c r="C8" s="47">
        <v>927</v>
      </c>
      <c r="D8" s="47" t="s">
        <v>263</v>
      </c>
    </row>
    <row r="9" spans="1:4">
      <c r="A9" s="46" t="s">
        <v>185</v>
      </c>
      <c r="B9" s="46" t="s">
        <v>184</v>
      </c>
      <c r="C9" s="47">
        <v>938</v>
      </c>
      <c r="D9" s="47" t="s">
        <v>263</v>
      </c>
    </row>
    <row r="10" spans="1:4">
      <c r="A10" s="46" t="s">
        <v>187</v>
      </c>
      <c r="B10" s="46" t="s">
        <v>186</v>
      </c>
      <c r="C10" s="47">
        <v>1015</v>
      </c>
      <c r="D10" s="47" t="s">
        <v>263</v>
      </c>
    </row>
    <row r="11" spans="1:4">
      <c r="A11" s="46" t="s">
        <v>199</v>
      </c>
      <c r="B11" s="46" t="s">
        <v>198</v>
      </c>
      <c r="C11" s="47">
        <v>1083</v>
      </c>
      <c r="D11" s="47" t="s">
        <v>263</v>
      </c>
    </row>
    <row r="12" spans="1:4">
      <c r="A12" s="46" t="s">
        <v>223</v>
      </c>
      <c r="B12" s="46" t="s">
        <v>222</v>
      </c>
      <c r="C12" s="47">
        <v>766</v>
      </c>
      <c r="D12" s="47" t="s">
        <v>263</v>
      </c>
    </row>
    <row r="13" spans="1:4">
      <c r="A13" s="46" t="s">
        <v>235</v>
      </c>
      <c r="B13" s="46" t="s">
        <v>234</v>
      </c>
      <c r="C13" s="47">
        <v>904</v>
      </c>
      <c r="D13" s="47" t="s">
        <v>263</v>
      </c>
    </row>
    <row r="14" spans="1:4">
      <c r="A14" s="48" t="s">
        <v>247</v>
      </c>
      <c r="B14" s="48" t="s">
        <v>246</v>
      </c>
      <c r="C14" s="47">
        <v>1022</v>
      </c>
      <c r="D14" s="47" t="s">
        <v>263</v>
      </c>
    </row>
    <row r="15" spans="1:4">
      <c r="A15" s="49" t="s">
        <v>169</v>
      </c>
      <c r="B15" s="49" t="s">
        <v>168</v>
      </c>
      <c r="C15" s="50">
        <v>721</v>
      </c>
      <c r="D15" s="50" t="s">
        <v>267</v>
      </c>
    </row>
    <row r="16" spans="1:4">
      <c r="A16" s="49" t="s">
        <v>171</v>
      </c>
      <c r="B16" s="49" t="s">
        <v>170</v>
      </c>
      <c r="C16" s="50">
        <v>749</v>
      </c>
      <c r="D16" s="50" t="s">
        <v>267</v>
      </c>
    </row>
    <row r="17" spans="1:4">
      <c r="A17" s="49" t="s">
        <v>181</v>
      </c>
      <c r="B17" s="49" t="s">
        <v>180</v>
      </c>
      <c r="C17" s="50">
        <v>677</v>
      </c>
      <c r="D17" s="50" t="s">
        <v>267</v>
      </c>
    </row>
    <row r="18" spans="1:4">
      <c r="A18" s="49" t="s">
        <v>179</v>
      </c>
      <c r="B18" s="49" t="s">
        <v>178</v>
      </c>
      <c r="C18" s="50">
        <v>701</v>
      </c>
      <c r="D18" s="50" t="s">
        <v>267</v>
      </c>
    </row>
    <row r="19" spans="1:4">
      <c r="A19" s="49" t="s">
        <v>183</v>
      </c>
      <c r="B19" s="49" t="s">
        <v>182</v>
      </c>
      <c r="C19" s="50">
        <v>724</v>
      </c>
      <c r="D19" s="50" t="s">
        <v>267</v>
      </c>
    </row>
    <row r="20" spans="1:4">
      <c r="A20" s="49" t="s">
        <v>205</v>
      </c>
      <c r="B20" s="49" t="s">
        <v>204</v>
      </c>
      <c r="C20" s="50">
        <v>760</v>
      </c>
      <c r="D20" s="50" t="s">
        <v>267</v>
      </c>
    </row>
    <row r="21" spans="1:4">
      <c r="A21" s="49" t="s">
        <v>221</v>
      </c>
      <c r="B21" s="49" t="s">
        <v>220</v>
      </c>
      <c r="C21" s="50">
        <v>718</v>
      </c>
      <c r="D21" s="50" t="s">
        <v>267</v>
      </c>
    </row>
    <row r="22" spans="1:4">
      <c r="A22" s="49" t="s">
        <v>231</v>
      </c>
      <c r="B22" s="49" t="s">
        <v>230</v>
      </c>
      <c r="C22" s="50">
        <v>765</v>
      </c>
      <c r="D22" s="50" t="s">
        <v>267</v>
      </c>
    </row>
    <row r="23" spans="1:4">
      <c r="A23" s="49" t="s">
        <v>237</v>
      </c>
      <c r="B23" s="49" t="s">
        <v>236</v>
      </c>
      <c r="C23" s="50">
        <v>708</v>
      </c>
      <c r="D23" s="50" t="s">
        <v>267</v>
      </c>
    </row>
    <row r="24" spans="1:4">
      <c r="A24" s="51" t="s">
        <v>253</v>
      </c>
      <c r="B24" s="51" t="s">
        <v>252</v>
      </c>
      <c r="C24" s="52">
        <v>673</v>
      </c>
      <c r="D24" s="52" t="s">
        <v>266</v>
      </c>
    </row>
    <row r="25" spans="1:4">
      <c r="A25" s="51" t="s">
        <v>195</v>
      </c>
      <c r="B25" s="51" t="s">
        <v>194</v>
      </c>
      <c r="C25" s="52">
        <v>675</v>
      </c>
      <c r="D25" s="52" t="s">
        <v>266</v>
      </c>
    </row>
    <row r="26" spans="1:4">
      <c r="A26" s="51" t="s">
        <v>201</v>
      </c>
      <c r="B26" s="51" t="s">
        <v>200</v>
      </c>
      <c r="C26" s="52">
        <v>675</v>
      </c>
      <c r="D26" s="52" t="s">
        <v>266</v>
      </c>
    </row>
    <row r="27" spans="1:4">
      <c r="A27" s="51" t="s">
        <v>217</v>
      </c>
      <c r="B27" s="51" t="s">
        <v>216</v>
      </c>
      <c r="C27" s="52">
        <v>644</v>
      </c>
      <c r="D27" s="52" t="s">
        <v>266</v>
      </c>
    </row>
    <row r="28" spans="1:4">
      <c r="A28" s="51" t="s">
        <v>211</v>
      </c>
      <c r="B28" s="51" t="s">
        <v>210</v>
      </c>
      <c r="C28" s="52">
        <v>635</v>
      </c>
      <c r="D28" s="52" t="s">
        <v>266</v>
      </c>
    </row>
    <row r="29" spans="1:4">
      <c r="A29" s="51" t="s">
        <v>215</v>
      </c>
      <c r="B29" s="51" t="s">
        <v>214</v>
      </c>
      <c r="C29" s="52">
        <v>666</v>
      </c>
      <c r="D29" s="52" t="s">
        <v>266</v>
      </c>
    </row>
    <row r="30" spans="1:4">
      <c r="A30" s="51" t="s">
        <v>227</v>
      </c>
      <c r="B30" s="51" t="s">
        <v>226</v>
      </c>
      <c r="C30" s="52">
        <v>643</v>
      </c>
      <c r="D30" s="52" t="s">
        <v>266</v>
      </c>
    </row>
    <row r="31" spans="1:4">
      <c r="A31" s="51" t="s">
        <v>233</v>
      </c>
      <c r="B31" s="51" t="s">
        <v>232</v>
      </c>
      <c r="C31" s="52">
        <v>670</v>
      </c>
      <c r="D31" s="52" t="s">
        <v>266</v>
      </c>
    </row>
    <row r="32" spans="1:4">
      <c r="A32" s="53" t="s">
        <v>157</v>
      </c>
      <c r="B32" s="53" t="s">
        <v>156</v>
      </c>
      <c r="C32" s="54">
        <v>566</v>
      </c>
      <c r="D32" s="54" t="s">
        <v>265</v>
      </c>
    </row>
    <row r="33" spans="1:4">
      <c r="A33" s="53" t="s">
        <v>165</v>
      </c>
      <c r="B33" s="53" t="s">
        <v>164</v>
      </c>
      <c r="C33" s="54">
        <v>605</v>
      </c>
      <c r="D33" s="54" t="s">
        <v>265</v>
      </c>
    </row>
    <row r="34" spans="1:4">
      <c r="A34" s="53" t="s">
        <v>167</v>
      </c>
      <c r="B34" s="53" t="s">
        <v>166</v>
      </c>
      <c r="C34" s="54">
        <v>619</v>
      </c>
      <c r="D34" s="54" t="s">
        <v>265</v>
      </c>
    </row>
    <row r="35" spans="1:4">
      <c r="A35" s="53" t="s">
        <v>177</v>
      </c>
      <c r="B35" s="53" t="s">
        <v>176</v>
      </c>
      <c r="C35" s="54">
        <v>604</v>
      </c>
      <c r="D35" s="54" t="s">
        <v>265</v>
      </c>
    </row>
    <row r="36" spans="1:4">
      <c r="A36" s="53" t="s">
        <v>219</v>
      </c>
      <c r="B36" s="53" t="s">
        <v>218</v>
      </c>
      <c r="C36" s="54">
        <v>581</v>
      </c>
      <c r="D36" s="54" t="s">
        <v>265</v>
      </c>
    </row>
    <row r="37" spans="1:4">
      <c r="A37" s="53" t="s">
        <v>229</v>
      </c>
      <c r="B37" s="53" t="s">
        <v>228</v>
      </c>
      <c r="C37" s="54">
        <v>600</v>
      </c>
      <c r="D37" s="54" t="s">
        <v>265</v>
      </c>
    </row>
    <row r="38" spans="1:4">
      <c r="A38" s="55" t="s">
        <v>239</v>
      </c>
      <c r="B38" s="53" t="s">
        <v>238</v>
      </c>
      <c r="C38" s="54">
        <v>555</v>
      </c>
      <c r="D38" s="54" t="s">
        <v>265</v>
      </c>
    </row>
    <row r="39" spans="1:4">
      <c r="A39" s="55" t="s">
        <v>243</v>
      </c>
      <c r="B39" s="53" t="s">
        <v>242</v>
      </c>
      <c r="C39" s="54">
        <v>592</v>
      </c>
      <c r="D39" s="54" t="s">
        <v>265</v>
      </c>
    </row>
    <row r="40" spans="1:4">
      <c r="A40" s="55" t="s">
        <v>251</v>
      </c>
      <c r="B40" s="55" t="s">
        <v>250</v>
      </c>
      <c r="C40" s="54">
        <v>619</v>
      </c>
      <c r="D40" s="54" t="s">
        <v>265</v>
      </c>
    </row>
    <row r="41" spans="1:4">
      <c r="A41" s="58" t="s">
        <v>175</v>
      </c>
      <c r="B41" s="58" t="s">
        <v>174</v>
      </c>
      <c r="C41" s="59">
        <v>514</v>
      </c>
      <c r="D41" s="59" t="s">
        <v>268</v>
      </c>
    </row>
    <row r="42" spans="1:4">
      <c r="A42" s="58" t="s">
        <v>193</v>
      </c>
      <c r="B42" s="58" t="s">
        <v>192</v>
      </c>
      <c r="C42" s="59">
        <v>545</v>
      </c>
      <c r="D42" s="59" t="s">
        <v>268</v>
      </c>
    </row>
    <row r="43" spans="1:4">
      <c r="A43" s="58" t="s">
        <v>191</v>
      </c>
      <c r="B43" s="58" t="s">
        <v>190</v>
      </c>
      <c r="C43" s="59">
        <v>551</v>
      </c>
      <c r="D43" s="59" t="s">
        <v>268</v>
      </c>
    </row>
    <row r="44" spans="1:4">
      <c r="A44" s="58" t="s">
        <v>189</v>
      </c>
      <c r="B44" s="58" t="s">
        <v>188</v>
      </c>
      <c r="C44" s="59">
        <v>508</v>
      </c>
      <c r="D44" s="59" t="s">
        <v>268</v>
      </c>
    </row>
    <row r="45" spans="1:4">
      <c r="A45" s="58" t="s">
        <v>203</v>
      </c>
      <c r="B45" s="58" t="s">
        <v>202</v>
      </c>
      <c r="C45" s="59">
        <v>472</v>
      </c>
      <c r="D45" s="59" t="s">
        <v>268</v>
      </c>
    </row>
    <row r="46" spans="1:4">
      <c r="A46" s="58" t="s">
        <v>209</v>
      </c>
      <c r="B46" s="58" t="s">
        <v>208</v>
      </c>
      <c r="C46" s="59">
        <v>538</v>
      </c>
      <c r="D46" s="59" t="s">
        <v>268</v>
      </c>
    </row>
    <row r="47" spans="1:4">
      <c r="A47" s="58" t="s">
        <v>213</v>
      </c>
      <c r="B47" s="58" t="s">
        <v>212</v>
      </c>
      <c r="C47" s="59">
        <v>530</v>
      </c>
      <c r="D47" s="59" t="s">
        <v>268</v>
      </c>
    </row>
    <row r="48" spans="1:4">
      <c r="A48" s="58" t="s">
        <v>207</v>
      </c>
      <c r="B48" s="58" t="s">
        <v>206</v>
      </c>
      <c r="C48" s="59">
        <v>540</v>
      </c>
      <c r="D48" s="59" t="s">
        <v>268</v>
      </c>
    </row>
    <row r="49" spans="1:4">
      <c r="A49" s="60" t="s">
        <v>249</v>
      </c>
      <c r="B49" s="60" t="s">
        <v>248</v>
      </c>
      <c r="C49" s="59">
        <v>502</v>
      </c>
      <c r="D49" s="59" t="s">
        <v>268</v>
      </c>
    </row>
    <row r="50" spans="1:4">
      <c r="A50" s="56" t="s">
        <v>155</v>
      </c>
      <c r="B50" s="56" t="s">
        <v>154</v>
      </c>
      <c r="C50" s="57">
        <v>354</v>
      </c>
      <c r="D50" s="57" t="s">
        <v>264</v>
      </c>
    </row>
    <row r="51" spans="1:4">
      <c r="A51" s="56" t="s">
        <v>161</v>
      </c>
      <c r="B51" s="56" t="s">
        <v>160</v>
      </c>
      <c r="C51" s="57">
        <v>411</v>
      </c>
      <c r="D51" s="57" t="s">
        <v>264</v>
      </c>
    </row>
    <row r="52" spans="1:4">
      <c r="A52" s="56" t="s">
        <v>163</v>
      </c>
      <c r="B52" s="56" t="s">
        <v>162</v>
      </c>
      <c r="C52" s="57">
        <v>425</v>
      </c>
      <c r="D52" s="57" t="s">
        <v>264</v>
      </c>
    </row>
    <row r="53" spans="1:4">
      <c r="A53" s="56" t="s">
        <v>173</v>
      </c>
      <c r="B53" s="56" t="s">
        <v>172</v>
      </c>
      <c r="C53" s="57">
        <v>392</v>
      </c>
      <c r="D53" s="57" t="s">
        <v>264</v>
      </c>
    </row>
    <row r="54" spans="1:4">
      <c r="A54" s="57" t="s">
        <v>197</v>
      </c>
      <c r="B54" s="57" t="s">
        <v>196</v>
      </c>
      <c r="C54" s="57">
        <v>466</v>
      </c>
      <c r="D54" s="57" t="s">
        <v>264</v>
      </c>
    </row>
    <row r="55" spans="1:4">
      <c r="A55" s="57" t="s">
        <v>225</v>
      </c>
      <c r="B55" s="57" t="s">
        <v>224</v>
      </c>
      <c r="C55" s="57">
        <v>387</v>
      </c>
      <c r="D55" s="57" t="s">
        <v>264</v>
      </c>
    </row>
    <row r="56" spans="1:4">
      <c r="A56" s="57" t="s">
        <v>241</v>
      </c>
      <c r="B56" s="57" t="s">
        <v>240</v>
      </c>
      <c r="C56" s="57">
        <v>460</v>
      </c>
      <c r="D56" s="57" t="s">
        <v>264</v>
      </c>
    </row>
    <row r="57" spans="1:4">
      <c r="A57" s="57" t="s">
        <v>245</v>
      </c>
      <c r="B57" s="57" t="s">
        <v>244</v>
      </c>
      <c r="C57" s="57">
        <v>389</v>
      </c>
      <c r="D57" s="57" t="s">
        <v>264</v>
      </c>
    </row>
    <row r="58" spans="1:4">
      <c r="A58" s="37"/>
      <c r="B58" s="37"/>
    </row>
    <row r="59" spans="1:4">
      <c r="A59" s="37"/>
      <c r="B59" s="37"/>
    </row>
    <row r="60" spans="1:4">
      <c r="A60" s="37"/>
      <c r="B60" s="37"/>
    </row>
    <row r="61" spans="1:4">
      <c r="A61" s="37"/>
      <c r="B61" s="37"/>
    </row>
    <row r="62" spans="1:4">
      <c r="A62" s="37"/>
      <c r="B62" s="37"/>
    </row>
  </sheetData>
  <autoFilter ref="A1:D62" xr:uid="{062745C8-0F33-174F-B936-715CEA351E7C}">
    <sortState xmlns:xlrd2="http://schemas.microsoft.com/office/spreadsheetml/2017/richdata2" ref="A2:D62">
      <sortCondition descending="1" ref="D1:D6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strength_NY</vt:lpstr>
      <vt:lpstr>strength_MA</vt:lpstr>
      <vt:lpstr>strength_TX</vt:lpstr>
      <vt:lpstr>quantity_amox</vt:lpstr>
      <vt:lpstr>quantity_cepha</vt:lpstr>
      <vt:lpstr>quantity_azith</vt:lpstr>
      <vt:lpstr>quantity_sulfTri</vt:lpstr>
      <vt:lpstr>sum</vt:lpstr>
      <vt:lpstr>ref</vt:lpstr>
      <vt:lpstr>states_ref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 Li</dc:creator>
  <cp:lastModifiedBy>Meris Li</cp:lastModifiedBy>
  <dcterms:created xsi:type="dcterms:W3CDTF">2026-07-18T14:44:58Z</dcterms:created>
  <dcterms:modified xsi:type="dcterms:W3CDTF">2026-10-14T04:20:57Z</dcterms:modified>
</cp:coreProperties>
</file>