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ley/Downloads/"/>
    </mc:Choice>
  </mc:AlternateContent>
  <xr:revisionPtr revIDLastSave="0" documentId="13_ncr:1_{ACF837CB-4DE0-7E4B-A190-9425FB791B1B}" xr6:coauthVersionLast="47" xr6:coauthVersionMax="47" xr10:uidLastSave="{00000000-0000-0000-0000-000000000000}"/>
  <bookViews>
    <workbookView xWindow="4840" yWindow="760" windowWidth="21360" windowHeight="16760" activeTab="5" xr2:uid="{7D789166-7FD4-FF4E-9E05-0DAA6FD18114}"/>
  </bookViews>
  <sheets>
    <sheet name="strength" sheetId="2" r:id="rId1"/>
    <sheet name="quantity_amox" sheetId="3" r:id="rId2"/>
    <sheet name="quantity_cepha" sheetId="8" r:id="rId3"/>
    <sheet name="quantity_azith" sheetId="11" r:id="rId4"/>
    <sheet name="quantity_sulfTri" sheetId="12" r:id="rId5"/>
    <sheet name="Sheet8" sheetId="10" r:id="rId6"/>
  </sheets>
  <definedNames>
    <definedName name="_xlnm._FilterDatabase" localSheetId="1" hidden="1">quantity_amox!$A$1:$G$69</definedName>
    <definedName name="_xlnm._FilterDatabase" localSheetId="3" hidden="1">quantity_azith!$A$1:$G$66</definedName>
    <definedName name="_xlnm._FilterDatabase" localSheetId="2" hidden="1">quantity_cepha!$A$1:$G$67</definedName>
    <definedName name="_xlnm._FilterDatabase" localSheetId="4" hidden="1">quantity_sulfTri!$A$1:$G$63</definedName>
    <definedName name="_xlnm._FilterDatabase" localSheetId="0" hidden="1">strength!$A$1:$G$98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5" i="2" l="1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3" i="2"/>
  <c r="C4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" i="2"/>
  <c r="C46" i="12"/>
  <c r="C47" i="12"/>
  <c r="C48" i="12"/>
  <c r="C49" i="12"/>
  <c r="C50" i="12"/>
  <c r="C51" i="12"/>
  <c r="C52" i="12"/>
  <c r="C53" i="12"/>
  <c r="C54" i="12"/>
  <c r="C55" i="12"/>
  <c r="C56" i="12"/>
  <c r="C57" i="12"/>
  <c r="C58" i="12"/>
  <c r="C59" i="12"/>
  <c r="C60" i="12"/>
  <c r="C61" i="12"/>
  <c r="C62" i="12"/>
  <c r="C63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42" i="12"/>
  <c r="C43" i="12"/>
  <c r="C44" i="12"/>
  <c r="C45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28" i="12"/>
  <c r="C29" i="12"/>
  <c r="C3" i="12"/>
  <c r="C4" i="12"/>
  <c r="C5" i="12"/>
  <c r="C6" i="12"/>
  <c r="C2" i="12"/>
  <c r="C3" i="11"/>
  <c r="C4" i="1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C2" i="11"/>
</calcChain>
</file>

<file path=xl/sharedStrings.xml><?xml version="1.0" encoding="utf-8"?>
<sst xmlns="http://schemas.openxmlformats.org/spreadsheetml/2006/main" count="520" uniqueCount="130">
  <si>
    <t>Estimate</t>
    <phoneticPr fontId="1" type="noConversion"/>
  </si>
  <si>
    <t>Coefficients</t>
  </si>
  <si>
    <t>Std. Error</t>
  </si>
  <si>
    <t>z value</t>
  </si>
  <si>
    <t>unifm_prod_nmAMOXICILLIN &amp; POT CLAVULANATE</t>
  </si>
  <si>
    <t>unifm_prod_nmAZITHROMYCIN</t>
  </si>
  <si>
    <t>unifm_prod_nmCEFDINIR</t>
  </si>
  <si>
    <t>unifm_prod_nmCEFUROXIME AXETIL</t>
  </si>
  <si>
    <t>unifm_prod_nmCEPHALEXIN</t>
  </si>
  <si>
    <t>unifm_prod_nmCIPROFLOXACIN HCL</t>
  </si>
  <si>
    <t>unifm_prod_nmCLARITHROMYCIN</t>
  </si>
  <si>
    <t>unifm_prod_nmCLINDAMYCIN HCL</t>
  </si>
  <si>
    <t>unifm_prod_nmDOXYCYCLINE (MONOHYDRATE)</t>
  </si>
  <si>
    <t>unifm_prod_nmDOXYCYCLINE HYCLATE</t>
  </si>
  <si>
    <t>unifm_prod_nmLEVOFLOXACIN</t>
  </si>
  <si>
    <t>unifm_prod_nmMINOCYCLINE HCL</t>
  </si>
  <si>
    <t>unifm_prod_nmPENICILLIN V POTASSIUM</t>
  </si>
  <si>
    <t>unifm_prod_nmSULFAMETHOXAZOLE-TRIMETHOPRIM</t>
  </si>
  <si>
    <t>pri_spcl_descDENTIST</t>
  </si>
  <si>
    <t>pri_spcl_descDERMATOLOGY</t>
  </si>
  <si>
    <t>pri_spcl_descEMERGENCY MEDICINE</t>
  </si>
  <si>
    <t>pri_spcl_descFAMILY MEDICINE</t>
  </si>
  <si>
    <t>pri_spcl_descGENERAL PRACTICE</t>
  </si>
  <si>
    <t>pri_spcl_descINTERNAL MEDICINE</t>
  </si>
  <si>
    <t>pri_spcl_descOBSTETRICS &amp; GYNECOLOGY</t>
  </si>
  <si>
    <t>pri_spcl_descOPHTHALMOLOGY</t>
  </si>
  <si>
    <t>pri_spcl_descORAL &amp; MAXILLOFACIAL SURGERY</t>
  </si>
  <si>
    <t>pri_spcl_descORTHOPEDIC SURGERY</t>
  </si>
  <si>
    <t>pri_spcl_descOTOLARYNGOLOGY</t>
  </si>
  <si>
    <t>pri_spcl_descPEDIATRICS</t>
  </si>
  <si>
    <t>pri_spcl_descPHYSICIAN ASSISTANT</t>
  </si>
  <si>
    <t>pri_spcl_descPLASTIC SURGERY</t>
  </si>
  <si>
    <t>pri_spcl_descPODIATRIST</t>
  </si>
  <si>
    <t>pri_spcl_descPULMONARY DISEASE</t>
  </si>
  <si>
    <t>pri_spcl_descUROLOGY</t>
  </si>
  <si>
    <t>provider_st_cdAE</t>
  </si>
  <si>
    <t>provider_st_cdAK</t>
  </si>
  <si>
    <t>provider_st_cdAL</t>
  </si>
  <si>
    <t>provider_st_cdAP</t>
  </si>
  <si>
    <t>provider_st_cdAR</t>
  </si>
  <si>
    <t>provider_st_cdAZ</t>
  </si>
  <si>
    <t>provider_st_cdCA</t>
  </si>
  <si>
    <t>provider_st_cdCO</t>
  </si>
  <si>
    <t>provider_st_cdCT</t>
  </si>
  <si>
    <t>provider_st_cdDC</t>
  </si>
  <si>
    <t>provider_st_cdDE</t>
  </si>
  <si>
    <t>provider_st_cdFL</t>
  </si>
  <si>
    <t>provider_st_cdGA</t>
  </si>
  <si>
    <t>provider_st_cdGU</t>
  </si>
  <si>
    <t>provider_st_cdHI</t>
  </si>
  <si>
    <t>provider_st_cdIA</t>
  </si>
  <si>
    <t>provider_st_cdID</t>
  </si>
  <si>
    <t>provider_st_cdIL</t>
  </si>
  <si>
    <t>provider_st_cdIN</t>
  </si>
  <si>
    <t>provider_st_cdKS</t>
  </si>
  <si>
    <t>provider_st_cdKY</t>
  </si>
  <si>
    <t>provider_st_cdLA</t>
  </si>
  <si>
    <t>provider_st_cdMA</t>
  </si>
  <si>
    <t>provider_st_cdMD</t>
  </si>
  <si>
    <t>provider_st_cdME</t>
  </si>
  <si>
    <t>provider_st_cdMI</t>
  </si>
  <si>
    <t>provider_st_cdMN</t>
  </si>
  <si>
    <t>provider_st_cdMO</t>
  </si>
  <si>
    <t>provider_st_cdMS</t>
  </si>
  <si>
    <t>provider_st_cdMT</t>
  </si>
  <si>
    <t>provider_st_cdNC</t>
  </si>
  <si>
    <t>provider_st_cdND</t>
  </si>
  <si>
    <t>provider_st_cdNE</t>
  </si>
  <si>
    <t>provider_st_cdNH</t>
  </si>
  <si>
    <t>provider_st_cdNJ</t>
  </si>
  <si>
    <t>provider_st_cdNM</t>
  </si>
  <si>
    <t>provider_st_cdNV</t>
  </si>
  <si>
    <t>provider_st_cdOH</t>
  </si>
  <si>
    <t>provider_st_cdOK</t>
  </si>
  <si>
    <t>provider_st_cdOR</t>
  </si>
  <si>
    <t>provider_st_cdPA</t>
  </si>
  <si>
    <t>provider_st_cdPR</t>
  </si>
  <si>
    <t>provider_st_cdRI</t>
  </si>
  <si>
    <t>provider_st_cdSC</t>
  </si>
  <si>
    <t>provider_st_cdSD</t>
  </si>
  <si>
    <t>provider_st_cdTN</t>
  </si>
  <si>
    <t>provider_st_cdTX</t>
  </si>
  <si>
    <t>provider_st_cdUT</t>
  </si>
  <si>
    <t>provider_st_cdVA</t>
  </si>
  <si>
    <t>provider_st_cdVI</t>
  </si>
  <si>
    <t>provider_st_cdVT</t>
  </si>
  <si>
    <t>provider_st_cdWA</t>
  </si>
  <si>
    <t>provider_st_cdWI</t>
  </si>
  <si>
    <t>provider_st_cdWV</t>
  </si>
  <si>
    <t>provider_st_cdWY</t>
  </si>
  <si>
    <t>dosage_form_nmCAPSULE</t>
  </si>
  <si>
    <t>dosage_form_nmPACK</t>
  </si>
  <si>
    <t>dosage_form_nmSOLUTION RECONSTITUTED</t>
  </si>
  <si>
    <t>dosage_form_nmSUSPENSION</t>
  </si>
  <si>
    <t>dosage_form_nmSUSPENSION RECONSTITUTED</t>
  </si>
  <si>
    <t>dosage_form_nmTABLET CHEW</t>
  </si>
  <si>
    <t>dosage_form_nmTABLET ENTERICCOATED</t>
  </si>
  <si>
    <t>dosage_form_nmTABLET SR 12 HR</t>
  </si>
  <si>
    <t>dosage_form_nmTABLET SR 24 HR</t>
  </si>
  <si>
    <t>Pr(&gt;|z|)</t>
  </si>
  <si>
    <t>(Intercept)</t>
    <phoneticPr fontId="1" type="noConversion"/>
  </si>
  <si>
    <t>pat_age_nbr</t>
    <phoneticPr fontId="1" type="noConversion"/>
  </si>
  <si>
    <t>&lt; 2e-16</t>
  </si>
  <si>
    <t>***</t>
  </si>
  <si>
    <t>*</t>
    <phoneticPr fontId="1" type="noConversion"/>
  </si>
  <si>
    <t>Significance</t>
    <phoneticPr fontId="1" type="noConversion"/>
  </si>
  <si>
    <t>Estimate</t>
  </si>
  <si>
    <t>(Intercept)</t>
  </si>
  <si>
    <t>pat_age_nbr</t>
  </si>
  <si>
    <t>dosage_form_nmTABLET</t>
  </si>
  <si>
    <t>.</t>
  </si>
  <si>
    <t>**</t>
  </si>
  <si>
    <t>*</t>
  </si>
  <si>
    <t>exp(estimate)</t>
  </si>
  <si>
    <t>Significance</t>
  </si>
  <si>
    <t>t value</t>
    <phoneticPr fontId="1" type="noConversion"/>
  </si>
  <si>
    <t>Cephalosporins</t>
  </si>
  <si>
    <t>Cephalexin</t>
  </si>
  <si>
    <t>Fluoroquinolones</t>
  </si>
  <si>
    <t>Ciprofloxacin HCl</t>
  </si>
  <si>
    <t>Macrolides</t>
  </si>
  <si>
    <t>Azithromycin</t>
  </si>
  <si>
    <t>Penicillins</t>
  </si>
  <si>
    <t>Amoxicillin</t>
  </si>
  <si>
    <t>Vancomycin</t>
  </si>
  <si>
    <t>Sulfonamides</t>
  </si>
  <si>
    <t>Sulfamethoxazole &amp; Trimethoprim</t>
  </si>
  <si>
    <t>&lt;2e-16</t>
  </si>
  <si>
    <t>4.854 1</t>
  </si>
  <si>
    <t>OR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</si>
</sst>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3" formatCode="0.0000_ "/>
  </numFmts>
  <fonts count="9" x14ac:knownFonts="1">
    <font>
      <sz val="12"/>
      <color theme="1"/>
      <name val="SimSun"/>
      <family val="2"/>
      <charset val="134"/>
    </font>
    <font>
      <sz val="9"/>
      <name val="SimSun"/>
      <family val="2"/>
      <charset val="134"/>
    </font>
    <font>
      <sz val="10"/>
      <color rgb="FF000000"/>
      <name val="Monaco"/>
      <family val="2"/>
    </font>
    <font>
      <sz val="10"/>
      <color theme="1"/>
      <name val="Monaco"/>
      <family val="2"/>
    </font>
    <font>
      <sz val="12"/>
      <color theme="1"/>
      <name val="Monaco"/>
      <family val="2"/>
    </font>
    <font>
      <b/>
      <sz val="10"/>
      <color rgb="FF000000"/>
      <name val="Monaco"/>
      <family val="2"/>
    </font>
    <font>
      <b/>
      <sz val="10"/>
      <color theme="1"/>
      <name val="Monaco"/>
      <family val="2"/>
    </font>
    <font>
      <sz val="12"/>
      <color rgb="FF000000"/>
      <name val="Times New Roman"/>
      <family val="1"/>
    </font>
    <font>
      <sz val="10"/>
      <color rgb="FFFF0000"/>
      <name val="Monac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11" fontId="3" fillId="0" borderId="0" xfId="0" applyNumberFormat="1" applyFont="1">
      <alignment vertical="center"/>
    </xf>
    <xf numFmtId="0" fontId="4" fillId="0" borderId="0" xfId="0" applyFont="1">
      <alignment vertical="center"/>
    </xf>
    <xf numFmtId="11" fontId="4" fillId="0" borderId="0" xfId="0" applyNumberFormat="1" applyFont="1">
      <alignment vertical="center"/>
    </xf>
    <xf numFmtId="0" fontId="3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183" fontId="3" fillId="0" borderId="0" xfId="0" applyNumberFormat="1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406400</xdr:colOff>
      <xdr:row>3</xdr:row>
      <xdr:rowOff>12700</xdr:rowOff>
    </xdr:from>
    <xdr:ext cx="3289300" cy="3849772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F8D82D2-B70A-8649-8ECA-BD6919E2947C}"/>
            </a:ext>
          </a:extLst>
        </xdr:cNvPr>
        <xdr:cNvSpPr txBox="1"/>
      </xdr:nvSpPr>
      <xdr:spPr>
        <a:xfrm>
          <a:off x="10071100" y="546100"/>
          <a:ext cx="3289300" cy="3849772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fontAlgn="ctr"/>
          <a:r>
            <a:rPr lang="en-US" sz="12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Test:</a:t>
          </a:r>
          <a:r>
            <a:rPr lang="zh-CN" altLang="en-US" sz="12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zh-CN" sz="12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Logistic</a:t>
          </a:r>
          <a:r>
            <a:rPr lang="zh-CN" altLang="en-US" sz="12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zh-CN" sz="12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bimodel</a:t>
          </a:r>
          <a:br>
            <a:rPr lang="en-US" altLang="zh-CN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br>
            <a:rPr lang="en-US" altLang="zh-CN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n-US" altLang="zh-CN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code:</a:t>
          </a:r>
          <a:br>
            <a:rPr lang="en-US" altLang="zh-CN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n-US" altLang="zh-CN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model_strength&lt;- glm(</a:t>
          </a:r>
        </a:p>
        <a:p>
          <a:pPr fontAlgn="ctr"/>
          <a:r>
            <a:rPr lang="en-US" altLang="zh-CN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highest_strnt ~</a:t>
          </a:r>
        </a:p>
        <a:p>
          <a:pPr fontAlgn="ctr"/>
          <a:r>
            <a:rPr lang="en-US" altLang="zh-CN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unifm_prod_nm +</a:t>
          </a:r>
        </a:p>
        <a:p>
          <a:pPr fontAlgn="ctr"/>
          <a:r>
            <a:rPr lang="en-US" altLang="zh-CN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pat_age_nbr +</a:t>
          </a:r>
        </a:p>
        <a:p>
          <a:pPr fontAlgn="ctr"/>
          <a:r>
            <a:rPr lang="en-US" altLang="zh-CN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pri_spcl_desc +</a:t>
          </a:r>
        </a:p>
        <a:p>
          <a:pPr fontAlgn="ctr"/>
          <a:r>
            <a:rPr lang="en-US" altLang="zh-CN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provider_st_cd +</a:t>
          </a:r>
        </a:p>
        <a:p>
          <a:pPr fontAlgn="ctr"/>
          <a:r>
            <a:rPr lang="en-US" altLang="zh-CN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dosage_form_nm,</a:t>
          </a:r>
        </a:p>
        <a:p>
          <a:pPr fontAlgn="ctr"/>
          <a:r>
            <a:rPr lang="en-US" altLang="zh-CN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family = binomial,</a:t>
          </a:r>
        </a:p>
        <a:p>
          <a:pPr fontAlgn="ctr"/>
          <a:r>
            <a:rPr lang="en-US" altLang="zh-CN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data = RX_model</a:t>
          </a:r>
        </a:p>
        <a:p>
          <a:pPr fontAlgn="ctr"/>
          <a:r>
            <a:rPr lang="en-US" altLang="zh-CN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pPr fontAlgn="ctr"/>
          <a:endParaRPr lang="en-US" sz="1200" b="0" i="0" u="none" strike="noStrik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fontAlgn="ctr"/>
          <a:br>
            <a:rPr lang="en-US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n-US" altLang="zh-CN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References:</a:t>
          </a:r>
        </a:p>
        <a:p>
          <a:r>
            <a:rPr lang="en-US" altLang="zh-CN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antibiotic</a:t>
          </a:r>
          <a:r>
            <a:rPr lang="zh-CN" altLang="en-US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zh-CN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</a:t>
          </a:r>
          <a:r>
            <a:rPr lang="zh-CN" altLang="en-US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"AMOXICILLIN"</a:t>
          </a:r>
        </a:p>
        <a:p>
          <a:r>
            <a:rPr lang="en-US" altLang="zh-CN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provider</a:t>
          </a:r>
          <a:r>
            <a:rPr lang="zh-CN" altLang="en-US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zh-CN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state</a:t>
          </a:r>
          <a:r>
            <a:rPr lang="zh-CN" altLang="en-US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zh-CN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</a:t>
          </a:r>
          <a:r>
            <a:rPr lang="zh-CN" altLang="en-US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"NY"</a:t>
          </a:r>
        </a:p>
        <a:p>
          <a:r>
            <a:rPr lang="en-US" altLang="zh-CN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dosage</a:t>
          </a:r>
          <a:r>
            <a:rPr lang="zh-CN" altLang="en-US" sz="1200" b="0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zh-CN" sz="1200" b="0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form</a:t>
          </a:r>
          <a:r>
            <a:rPr lang="zh-CN" altLang="en-US" sz="1200" b="0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zh-CN" sz="1200" b="0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</a:t>
          </a:r>
          <a:r>
            <a:rPr lang="zh-CN" altLang="en-US" sz="1200" b="0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"TABLET"</a:t>
          </a:r>
        </a:p>
        <a:p>
          <a:r>
            <a:rPr lang="en-US" altLang="zh-CN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specialty</a:t>
          </a:r>
          <a:r>
            <a:rPr lang="zh-CN" altLang="en-US" sz="1200" b="0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 "NURSE PRACTITIONER"   </a:t>
          </a:r>
          <a:r>
            <a:rPr lang="en-US" sz="1200">
              <a:effectLst/>
            </a:rPr>
            <a:t> 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660400</xdr:colOff>
      <xdr:row>4</xdr:row>
      <xdr:rowOff>50800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9FC40A-C7DD-FF78-CC09-52BFF3C60C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924800" cy="812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</xdr:row>
      <xdr:rowOff>88900</xdr:rowOff>
    </xdr:from>
    <xdr:to>
      <xdr:col>8</xdr:col>
      <xdr:colOff>660400</xdr:colOff>
      <xdr:row>7</xdr:row>
      <xdr:rowOff>127000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D6A91DF-B4AD-B975-6573-EAEB26C993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0900"/>
          <a:ext cx="792480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</xdr:colOff>
      <xdr:row>9</xdr:row>
      <xdr:rowOff>88900</xdr:rowOff>
    </xdr:from>
    <xdr:to>
      <xdr:col>7</xdr:col>
      <xdr:colOff>520700</xdr:colOff>
      <xdr:row>33</xdr:row>
      <xdr:rowOff>12700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B285DC-5E71-19D3-B656-08B2D74CFC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803400"/>
          <a:ext cx="6921500" cy="449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184226</xdr:colOff>
      <xdr:row>14</xdr:row>
      <xdr:rowOff>139700</xdr:rowOff>
    </xdr:from>
    <xdr:to>
      <xdr:col>14</xdr:col>
      <xdr:colOff>609599</xdr:colOff>
      <xdr:row>24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163B7E3-2247-77AE-EFF8-CA7A562883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448626" y="2806700"/>
          <a:ext cx="5378373" cy="1879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66F38-8901-0443-8989-34426375F3A8}">
  <sheetPr filterMode="1"/>
  <dimension ref="A1:G98"/>
  <sheetViews>
    <sheetView workbookViewId="0">
      <pane ySplit="1" topLeftCell="A2" activePane="bottomLeft" state="frozen"/>
      <selection pane="bottomLeft" activeCell="E104" sqref="E104"/>
    </sheetView>
  </sheetViews>
  <sheetFormatPr baseColWidth="10" defaultRowHeight="14" x14ac:dyDescent="0.15"/>
  <cols>
    <col min="1" max="1" width="47.5" style="2" customWidth="1"/>
    <col min="2" max="2" width="12.6640625" style="2" bestFit="1" customWidth="1"/>
    <col min="3" max="3" width="12.5" style="2" customWidth="1"/>
    <col min="4" max="4" width="13" style="2" bestFit="1" customWidth="1"/>
    <col min="5" max="5" width="11" style="2" bestFit="1" customWidth="1"/>
    <col min="6" max="6" width="16.33203125" style="2" customWidth="1"/>
    <col min="7" max="7" width="14.6640625" style="2" customWidth="1"/>
    <col min="8" max="16384" width="10.83203125" style="2"/>
  </cols>
  <sheetData>
    <row r="1" spans="1:7" x14ac:dyDescent="0.15">
      <c r="A1" s="8" t="s">
        <v>1</v>
      </c>
      <c r="B1" s="9" t="s">
        <v>0</v>
      </c>
      <c r="C1" s="9" t="s">
        <v>129</v>
      </c>
      <c r="D1" s="9" t="s">
        <v>2</v>
      </c>
      <c r="E1" s="9" t="s">
        <v>3</v>
      </c>
      <c r="F1" s="9" t="s">
        <v>99</v>
      </c>
      <c r="G1" s="9" t="s">
        <v>105</v>
      </c>
    </row>
    <row r="2" spans="1:7" x14ac:dyDescent="0.15">
      <c r="A2" s="1" t="s">
        <v>100</v>
      </c>
      <c r="B2" s="12">
        <v>2.2570000000000001</v>
      </c>
      <c r="C2" s="12">
        <f>EXP(B2)</f>
        <v>9.5543829800737594</v>
      </c>
      <c r="D2" s="12">
        <v>0.20830000000000001</v>
      </c>
      <c r="E2" s="2">
        <v>10.834</v>
      </c>
      <c r="F2" s="2" t="s">
        <v>102</v>
      </c>
      <c r="G2" s="2" t="s">
        <v>103</v>
      </c>
    </row>
    <row r="3" spans="1:7" hidden="1" x14ac:dyDescent="0.15">
      <c r="A3" s="1" t="s">
        <v>4</v>
      </c>
      <c r="B3" s="12">
        <v>-24.15</v>
      </c>
      <c r="C3" s="12">
        <f t="shared" ref="C3:C66" si="0">EXP(B3)</f>
        <v>3.2492884143387998E-11</v>
      </c>
      <c r="D3" s="12">
        <v>765.8</v>
      </c>
      <c r="E3" s="2">
        <v>-3.2000000000000001E-2</v>
      </c>
      <c r="F3" s="2">
        <v>0.9748</v>
      </c>
    </row>
    <row r="4" spans="1:7" hidden="1" x14ac:dyDescent="0.15">
      <c r="A4" s="1" t="s">
        <v>5</v>
      </c>
      <c r="B4" s="12">
        <v>-24.27</v>
      </c>
      <c r="C4" s="12">
        <f t="shared" si="0"/>
        <v>2.8818602994653656E-11</v>
      </c>
      <c r="D4" s="12">
        <v>659.9</v>
      </c>
      <c r="E4" s="2">
        <v>-3.6999999999999998E-2</v>
      </c>
      <c r="F4" s="2">
        <v>0.97070000000000001</v>
      </c>
    </row>
    <row r="5" spans="1:7" hidden="1" x14ac:dyDescent="0.15">
      <c r="A5" s="1" t="s">
        <v>6</v>
      </c>
      <c r="B5" s="12">
        <v>25.99</v>
      </c>
      <c r="C5" s="12">
        <f>EXP(B5)</f>
        <v>193782067274.81113</v>
      </c>
      <c r="D5" s="12">
        <v>501.3</v>
      </c>
      <c r="E5" s="2">
        <v>5.1999999999999998E-2</v>
      </c>
      <c r="F5" s="2">
        <v>0.95860000000000001</v>
      </c>
    </row>
    <row r="6" spans="1:7" x14ac:dyDescent="0.15">
      <c r="A6" s="1" t="s">
        <v>7</v>
      </c>
      <c r="B6" s="12">
        <v>-1.1579999999999999</v>
      </c>
      <c r="C6" s="12">
        <f t="shared" si="0"/>
        <v>0.31411378063492296</v>
      </c>
      <c r="D6" s="12">
        <v>0.19589999999999999</v>
      </c>
      <c r="E6" s="2">
        <v>-5.9119999999999999</v>
      </c>
      <c r="F6" s="3">
        <v>3.3799999999999999E-9</v>
      </c>
      <c r="G6" s="2" t="s">
        <v>103</v>
      </c>
    </row>
    <row r="7" spans="1:7" x14ac:dyDescent="0.15">
      <c r="A7" s="1" t="s">
        <v>8</v>
      </c>
      <c r="B7" s="12">
        <v>-3.887</v>
      </c>
      <c r="C7" s="12">
        <f t="shared" si="0"/>
        <v>2.0506774172181743E-2</v>
      </c>
      <c r="D7" s="12">
        <v>0.77980000000000005</v>
      </c>
      <c r="E7" s="2">
        <v>-4.984</v>
      </c>
      <c r="F7" s="3">
        <v>6.2200000000000004E-7</v>
      </c>
      <c r="G7" s="2" t="s">
        <v>103</v>
      </c>
    </row>
    <row r="8" spans="1:7" x14ac:dyDescent="0.15">
      <c r="A8" s="1" t="s">
        <v>9</v>
      </c>
      <c r="B8" s="12">
        <v>-6.673</v>
      </c>
      <c r="C8" s="12">
        <f t="shared" si="0"/>
        <v>1.2645992568450805E-3</v>
      </c>
      <c r="D8" s="12">
        <v>0.30869999999999997</v>
      </c>
      <c r="E8" s="2">
        <v>-21.617999999999999</v>
      </c>
      <c r="F8" s="2" t="s">
        <v>102</v>
      </c>
      <c r="G8" s="2" t="s">
        <v>103</v>
      </c>
    </row>
    <row r="9" spans="1:7" hidden="1" x14ac:dyDescent="0.15">
      <c r="A9" s="1" t="s">
        <v>10</v>
      </c>
      <c r="B9" s="12">
        <v>1.925</v>
      </c>
      <c r="C9" s="12">
        <f t="shared" si="0"/>
        <v>6.8551486658991783</v>
      </c>
      <c r="D9" s="12">
        <v>1.0229999999999999</v>
      </c>
      <c r="E9" s="2">
        <v>1.8819999999999999</v>
      </c>
      <c r="F9" s="2">
        <v>5.9900000000000002E-2</v>
      </c>
    </row>
    <row r="10" spans="1:7" x14ac:dyDescent="0.15">
      <c r="A10" s="1" t="s">
        <v>11</v>
      </c>
      <c r="B10" s="12">
        <v>7.5720000000000001</v>
      </c>
      <c r="C10" s="12">
        <f t="shared" si="0"/>
        <v>1943.0224429892489</v>
      </c>
      <c r="D10" s="12">
        <v>0.50970000000000004</v>
      </c>
      <c r="E10" s="2">
        <v>14.856999999999999</v>
      </c>
      <c r="F10" s="2" t="s">
        <v>102</v>
      </c>
      <c r="G10" s="2" t="s">
        <v>103</v>
      </c>
    </row>
    <row r="11" spans="1:7" x14ac:dyDescent="0.15">
      <c r="A11" s="1" t="s">
        <v>12</v>
      </c>
      <c r="B11" s="12">
        <v>-6.2169999999999996</v>
      </c>
      <c r="C11" s="12">
        <f t="shared" si="0"/>
        <v>1.9952219134787581E-3</v>
      </c>
      <c r="D11" s="12">
        <v>0.73550000000000004</v>
      </c>
      <c r="E11" s="2">
        <v>-8.4529999999999994</v>
      </c>
      <c r="F11" s="2" t="s">
        <v>102</v>
      </c>
      <c r="G11" s="2" t="s">
        <v>103</v>
      </c>
    </row>
    <row r="12" spans="1:7" hidden="1" x14ac:dyDescent="0.15">
      <c r="A12" s="1" t="s">
        <v>13</v>
      </c>
      <c r="B12" s="12">
        <v>-23.15</v>
      </c>
      <c r="C12" s="12">
        <f t="shared" si="0"/>
        <v>8.8324816521196642E-11</v>
      </c>
      <c r="D12" s="12">
        <v>884.2</v>
      </c>
      <c r="E12" s="2">
        <v>-2.5999999999999999E-2</v>
      </c>
      <c r="F12" s="2">
        <v>0.97909999999999997</v>
      </c>
    </row>
    <row r="13" spans="1:7" x14ac:dyDescent="0.15">
      <c r="A13" s="1" t="s">
        <v>14</v>
      </c>
      <c r="B13" s="12">
        <v>-3.0459999999999998</v>
      </c>
      <c r="C13" s="12">
        <f t="shared" si="0"/>
        <v>4.7548739465768049E-2</v>
      </c>
      <c r="D13" s="12">
        <v>0.14130000000000001</v>
      </c>
      <c r="E13" s="2">
        <v>-21.550999999999998</v>
      </c>
      <c r="F13" s="2" t="s">
        <v>102</v>
      </c>
      <c r="G13" s="2" t="s">
        <v>103</v>
      </c>
    </row>
    <row r="14" spans="1:7" hidden="1" x14ac:dyDescent="0.15">
      <c r="A14" s="1" t="s">
        <v>15</v>
      </c>
      <c r="B14" s="12">
        <v>-21.85</v>
      </c>
      <c r="C14" s="12">
        <f t="shared" si="0"/>
        <v>3.240899549293071E-10</v>
      </c>
      <c r="D14" s="12">
        <v>1801</v>
      </c>
      <c r="E14" s="2">
        <v>-1.2E-2</v>
      </c>
      <c r="F14" s="2">
        <v>0.99029999999999996</v>
      </c>
    </row>
    <row r="15" spans="1:7" x14ac:dyDescent="0.15">
      <c r="A15" s="1" t="s">
        <v>16</v>
      </c>
      <c r="B15" s="12">
        <v>2.4550000000000001</v>
      </c>
      <c r="C15" s="12">
        <f t="shared" si="0"/>
        <v>11.646433548879468</v>
      </c>
      <c r="D15" s="12">
        <v>0.2576</v>
      </c>
      <c r="E15" s="2">
        <v>9.5329999999999995</v>
      </c>
      <c r="F15" s="2" t="s">
        <v>102</v>
      </c>
      <c r="G15" s="2" t="s">
        <v>103</v>
      </c>
    </row>
    <row r="16" spans="1:7" x14ac:dyDescent="0.15">
      <c r="A16" s="1" t="s">
        <v>17</v>
      </c>
      <c r="B16" s="12">
        <v>1.216</v>
      </c>
      <c r="C16" s="12">
        <f t="shared" si="0"/>
        <v>3.3736660440948167</v>
      </c>
      <c r="D16" s="12">
        <v>0.15540000000000001</v>
      </c>
      <c r="E16" s="2">
        <v>7.827</v>
      </c>
      <c r="F16" s="3">
        <v>4.9900000000000002E-15</v>
      </c>
      <c r="G16" s="2" t="s">
        <v>103</v>
      </c>
    </row>
    <row r="17" spans="1:7" hidden="1" x14ac:dyDescent="0.15">
      <c r="A17" s="1" t="s">
        <v>101</v>
      </c>
      <c r="B17" s="12">
        <v>-3.8630000000000001E-3</v>
      </c>
      <c r="C17" s="12">
        <f t="shared" si="0"/>
        <v>0.99614445178599542</v>
      </c>
      <c r="D17" s="12">
        <v>2.1930000000000001E-3</v>
      </c>
      <c r="E17" s="2">
        <v>-1.7609999999999999</v>
      </c>
      <c r="F17" s="2">
        <v>7.8200000000000006E-2</v>
      </c>
    </row>
    <row r="18" spans="1:7" x14ac:dyDescent="0.15">
      <c r="A18" s="1" t="s">
        <v>18</v>
      </c>
      <c r="B18" s="12">
        <v>-1.335</v>
      </c>
      <c r="C18" s="12">
        <f t="shared" si="0"/>
        <v>0.26315817545602871</v>
      </c>
      <c r="D18" s="12">
        <v>0.14349999999999999</v>
      </c>
      <c r="E18" s="2">
        <v>-9.3049999999999997</v>
      </c>
      <c r="F18" s="2" t="s">
        <v>102</v>
      </c>
      <c r="G18" s="2" t="s">
        <v>103</v>
      </c>
    </row>
    <row r="19" spans="1:7" hidden="1" x14ac:dyDescent="0.15">
      <c r="A19" s="1" t="s">
        <v>19</v>
      </c>
      <c r="B19" s="12">
        <v>0.29620000000000002</v>
      </c>
      <c r="C19" s="12">
        <f t="shared" si="0"/>
        <v>1.3447390777546151</v>
      </c>
      <c r="D19" s="12">
        <v>0.69620000000000004</v>
      </c>
      <c r="E19" s="2">
        <v>0.42499999999999999</v>
      </c>
      <c r="F19" s="2">
        <v>0.67049999999999998</v>
      </c>
    </row>
    <row r="20" spans="1:7" hidden="1" x14ac:dyDescent="0.15">
      <c r="A20" s="1" t="s">
        <v>20</v>
      </c>
      <c r="B20" s="12">
        <v>-9.0840000000000004E-2</v>
      </c>
      <c r="C20" s="12">
        <f t="shared" si="0"/>
        <v>0.91316380542025966</v>
      </c>
      <c r="D20" s="12">
        <v>0.23269999999999999</v>
      </c>
      <c r="E20" s="2">
        <v>-0.39</v>
      </c>
      <c r="F20" s="2">
        <v>0.69620000000000004</v>
      </c>
    </row>
    <row r="21" spans="1:7" hidden="1" x14ac:dyDescent="0.15">
      <c r="A21" s="1" t="s">
        <v>21</v>
      </c>
      <c r="B21" s="12">
        <v>0.1144</v>
      </c>
      <c r="C21" s="12">
        <f t="shared" si="0"/>
        <v>1.1212005154062326</v>
      </c>
      <c r="D21" s="12">
        <v>0.1431</v>
      </c>
      <c r="E21" s="2">
        <v>0.8</v>
      </c>
      <c r="F21" s="2">
        <v>0.42380000000000001</v>
      </c>
    </row>
    <row r="22" spans="1:7" hidden="1" x14ac:dyDescent="0.15">
      <c r="A22" s="1" t="s">
        <v>22</v>
      </c>
      <c r="B22" s="12">
        <v>-0.37290000000000001</v>
      </c>
      <c r="C22" s="12">
        <f t="shared" si="0"/>
        <v>0.68873410281068115</v>
      </c>
      <c r="D22" s="12">
        <v>6073</v>
      </c>
      <c r="E22" s="2">
        <v>0</v>
      </c>
      <c r="F22" s="2">
        <v>1</v>
      </c>
    </row>
    <row r="23" spans="1:7" hidden="1" x14ac:dyDescent="0.15">
      <c r="A23" s="1" t="s">
        <v>23</v>
      </c>
      <c r="B23" s="12">
        <v>-2.0109999999999999E-2</v>
      </c>
      <c r="C23" s="12">
        <f t="shared" si="0"/>
        <v>0.98009085738267609</v>
      </c>
      <c r="D23" s="12">
        <v>0.16109999999999999</v>
      </c>
      <c r="E23" s="2">
        <v>-0.125</v>
      </c>
      <c r="F23" s="2">
        <v>0.90069999999999995</v>
      </c>
    </row>
    <row r="24" spans="1:7" hidden="1" x14ac:dyDescent="0.15">
      <c r="A24" s="1" t="s">
        <v>24</v>
      </c>
      <c r="B24" s="12">
        <v>-0.51519999999999999</v>
      </c>
      <c r="C24" s="12">
        <f t="shared" si="0"/>
        <v>0.59738110644852915</v>
      </c>
      <c r="D24" s="12">
        <v>0.48259999999999997</v>
      </c>
      <c r="E24" s="2">
        <v>-1.0680000000000001</v>
      </c>
      <c r="F24" s="2">
        <v>0.28570000000000001</v>
      </c>
    </row>
    <row r="25" spans="1:7" hidden="1" x14ac:dyDescent="0.15">
      <c r="A25" s="1" t="s">
        <v>25</v>
      </c>
      <c r="B25" s="12">
        <v>-15.71</v>
      </c>
      <c r="C25" s="12">
        <f t="shared" si="0"/>
        <v>1.5039510086456694E-7</v>
      </c>
      <c r="D25" s="12">
        <v>4020</v>
      </c>
      <c r="E25" s="2">
        <v>-4.0000000000000001E-3</v>
      </c>
      <c r="F25" s="2">
        <v>0.99690000000000001</v>
      </c>
    </row>
    <row r="26" spans="1:7" x14ac:dyDescent="0.15">
      <c r="A26" s="1" t="s">
        <v>26</v>
      </c>
      <c r="B26" s="12">
        <v>-1.4419999999999999</v>
      </c>
      <c r="C26" s="12">
        <f t="shared" si="0"/>
        <v>0.2364543767045291</v>
      </c>
      <c r="D26" s="12">
        <v>0.22750000000000001</v>
      </c>
      <c r="E26" s="2">
        <v>-6.3390000000000004</v>
      </c>
      <c r="F26" s="3">
        <v>2.31E-10</v>
      </c>
      <c r="G26" s="2" t="s">
        <v>103</v>
      </c>
    </row>
    <row r="27" spans="1:7" hidden="1" x14ac:dyDescent="0.15">
      <c r="A27" s="1" t="s">
        <v>27</v>
      </c>
      <c r="B27" s="12">
        <v>-20.98</v>
      </c>
      <c r="C27" s="12">
        <f t="shared" si="0"/>
        <v>7.7357383093895748E-10</v>
      </c>
      <c r="D27" s="12">
        <v>3224</v>
      </c>
      <c r="E27" s="2">
        <v>-7.0000000000000001E-3</v>
      </c>
      <c r="F27" s="2">
        <v>0.99480000000000002</v>
      </c>
    </row>
    <row r="28" spans="1:7" hidden="1" x14ac:dyDescent="0.15">
      <c r="A28" s="1" t="s">
        <v>28</v>
      </c>
      <c r="B28" s="12">
        <v>-3.7679999999999998E-2</v>
      </c>
      <c r="C28" s="12">
        <f>EXP(B28)</f>
        <v>0.96302105832844542</v>
      </c>
      <c r="D28" s="12">
        <v>4605</v>
      </c>
      <c r="E28" s="2">
        <v>0</v>
      </c>
      <c r="F28" s="2">
        <v>1</v>
      </c>
    </row>
    <row r="29" spans="1:7" hidden="1" x14ac:dyDescent="0.15">
      <c r="A29" s="1" t="s">
        <v>29</v>
      </c>
      <c r="B29" s="12">
        <v>9.2490000000000003E-2</v>
      </c>
      <c r="C29" s="12">
        <f t="shared" si="0"/>
        <v>1.0969021724837338</v>
      </c>
      <c r="D29" s="12">
        <v>0.32869999999999999</v>
      </c>
      <c r="E29" s="2">
        <v>0.28100000000000003</v>
      </c>
      <c r="F29" s="2">
        <v>0.77839999999999998</v>
      </c>
    </row>
    <row r="30" spans="1:7" hidden="1" x14ac:dyDescent="0.15">
      <c r="A30" s="1" t="s">
        <v>30</v>
      </c>
      <c r="B30" s="12">
        <v>0.18540000000000001</v>
      </c>
      <c r="C30" s="12">
        <f t="shared" si="0"/>
        <v>1.2036998237740573</v>
      </c>
      <c r="D30" s="12">
        <v>0.16689999999999999</v>
      </c>
      <c r="E30" s="2">
        <v>1.111</v>
      </c>
      <c r="F30" s="2">
        <v>0.26679999999999998</v>
      </c>
    </row>
    <row r="31" spans="1:7" x14ac:dyDescent="0.15">
      <c r="A31" s="1" t="s">
        <v>31</v>
      </c>
      <c r="B31" s="12">
        <v>5.5419999999999998</v>
      </c>
      <c r="C31" s="12">
        <f t="shared" si="0"/>
        <v>255.18786515321113</v>
      </c>
      <c r="D31" s="12">
        <v>1.359</v>
      </c>
      <c r="E31" s="2">
        <v>4.0789999999999997</v>
      </c>
      <c r="F31" s="3">
        <v>4.5300000000000003E-5</v>
      </c>
      <c r="G31" s="2" t="s">
        <v>103</v>
      </c>
    </row>
    <row r="32" spans="1:7" hidden="1" x14ac:dyDescent="0.15">
      <c r="A32" s="1" t="s">
        <v>32</v>
      </c>
      <c r="B32" s="12">
        <v>-12.45</v>
      </c>
      <c r="C32" s="12">
        <f t="shared" si="0"/>
        <v>3.9177227660243348E-6</v>
      </c>
      <c r="D32" s="12">
        <v>5160</v>
      </c>
      <c r="E32" s="2">
        <v>-2E-3</v>
      </c>
      <c r="F32" s="2">
        <v>0.99809999999999999</v>
      </c>
    </row>
    <row r="33" spans="1:6" hidden="1" x14ac:dyDescent="0.15">
      <c r="A33" s="1" t="s">
        <v>33</v>
      </c>
      <c r="B33" s="12">
        <v>-0.1376</v>
      </c>
      <c r="C33" s="12">
        <f t="shared" si="0"/>
        <v>0.87144720091968464</v>
      </c>
      <c r="D33" s="12">
        <v>5193</v>
      </c>
      <c r="E33" s="2">
        <v>0</v>
      </c>
      <c r="F33" s="2">
        <v>1</v>
      </c>
    </row>
    <row r="34" spans="1:6" hidden="1" x14ac:dyDescent="0.15">
      <c r="A34" s="1" t="s">
        <v>34</v>
      </c>
      <c r="B34" s="12">
        <v>-0.31259999999999999</v>
      </c>
      <c r="C34" s="12">
        <f t="shared" si="0"/>
        <v>0.73154247104170333</v>
      </c>
      <c r="D34" s="12">
        <v>0.3735</v>
      </c>
      <c r="E34" s="2">
        <v>-0.83699999999999997</v>
      </c>
      <c r="F34" s="2">
        <v>0.4027</v>
      </c>
    </row>
    <row r="35" spans="1:6" hidden="1" x14ac:dyDescent="0.15">
      <c r="A35" s="1" t="s">
        <v>35</v>
      </c>
      <c r="B35" s="12">
        <v>1.901</v>
      </c>
      <c r="C35" s="12">
        <f t="shared" si="0"/>
        <v>6.6925836807833647</v>
      </c>
      <c r="D35" s="12">
        <v>10.72</v>
      </c>
      <c r="E35" s="2">
        <v>0.17699999999999999</v>
      </c>
      <c r="F35" s="2">
        <v>0.85929999999999995</v>
      </c>
    </row>
    <row r="36" spans="1:6" hidden="1" x14ac:dyDescent="0.15">
      <c r="A36" s="1" t="s">
        <v>36</v>
      </c>
      <c r="B36" s="12">
        <v>-0.61639999999999995</v>
      </c>
      <c r="C36" s="12">
        <f t="shared" si="0"/>
        <v>0.5398845276367944</v>
      </c>
      <c r="D36" s="12">
        <v>1.7869999999999999</v>
      </c>
      <c r="E36" s="2">
        <v>-0.34499999999999997</v>
      </c>
      <c r="F36" s="2">
        <v>0.73019999999999996</v>
      </c>
    </row>
    <row r="37" spans="1:6" hidden="1" x14ac:dyDescent="0.15">
      <c r="A37" s="1" t="s">
        <v>37</v>
      </c>
      <c r="B37" s="12">
        <v>-6.6739999999999994E-2</v>
      </c>
      <c r="C37" s="12">
        <f t="shared" si="0"/>
        <v>0.9354383837014616</v>
      </c>
      <c r="D37" s="12">
        <v>0.3468</v>
      </c>
      <c r="E37" s="2">
        <v>-0.192</v>
      </c>
      <c r="F37" s="2">
        <v>0.84740000000000004</v>
      </c>
    </row>
    <row r="38" spans="1:6" hidden="1" x14ac:dyDescent="0.15">
      <c r="A38" s="1" t="s">
        <v>38</v>
      </c>
      <c r="B38" s="12">
        <v>-7.6569999999999999E-2</v>
      </c>
      <c r="C38" s="12">
        <f t="shared" si="0"/>
        <v>0.92628807185433359</v>
      </c>
      <c r="D38" s="12">
        <v>24910</v>
      </c>
      <c r="E38" s="2">
        <v>0</v>
      </c>
      <c r="F38" s="2">
        <v>1</v>
      </c>
    </row>
    <row r="39" spans="1:6" hidden="1" x14ac:dyDescent="0.15">
      <c r="A39" s="1" t="s">
        <v>39</v>
      </c>
      <c r="B39" s="12">
        <v>0.41820000000000002</v>
      </c>
      <c r="C39" s="12">
        <f t="shared" si="0"/>
        <v>1.5192244889175592</v>
      </c>
      <c r="D39" s="12">
        <v>0.58309999999999995</v>
      </c>
      <c r="E39" s="2">
        <v>0.71699999999999997</v>
      </c>
      <c r="F39" s="2">
        <v>0.47320000000000001</v>
      </c>
    </row>
    <row r="40" spans="1:6" hidden="1" x14ac:dyDescent="0.15">
      <c r="A40" s="1" t="s">
        <v>40</v>
      </c>
      <c r="B40" s="12">
        <v>0.50590000000000002</v>
      </c>
      <c r="C40" s="12">
        <f t="shared" si="0"/>
        <v>1.6584774787097705</v>
      </c>
      <c r="D40" s="12">
        <v>0.37959999999999999</v>
      </c>
      <c r="E40" s="2">
        <v>1.333</v>
      </c>
      <c r="F40" s="2">
        <v>0.1827</v>
      </c>
    </row>
    <row r="41" spans="1:6" hidden="1" x14ac:dyDescent="0.15">
      <c r="A41" s="1" t="s">
        <v>41</v>
      </c>
      <c r="B41" s="12">
        <v>-6.5430000000000002E-2</v>
      </c>
      <c r="C41" s="12">
        <f t="shared" si="0"/>
        <v>0.93666461098762221</v>
      </c>
      <c r="D41" s="12">
        <v>0.20050000000000001</v>
      </c>
      <c r="E41" s="2">
        <v>-0.32600000000000001</v>
      </c>
      <c r="F41" s="2">
        <v>0.74419999999999997</v>
      </c>
    </row>
    <row r="42" spans="1:6" hidden="1" x14ac:dyDescent="0.15">
      <c r="A42" s="1" t="s">
        <v>42</v>
      </c>
      <c r="B42" s="12">
        <v>-8.2570000000000005E-2</v>
      </c>
      <c r="C42" s="12">
        <f t="shared" si="0"/>
        <v>0.92074698331208993</v>
      </c>
      <c r="D42" s="12">
        <v>0.56399999999999995</v>
      </c>
      <c r="E42" s="2">
        <v>-0.14599999999999999</v>
      </c>
      <c r="F42" s="2">
        <v>0.88360000000000005</v>
      </c>
    </row>
    <row r="43" spans="1:6" hidden="1" x14ac:dyDescent="0.15">
      <c r="A43" s="1" t="s">
        <v>43</v>
      </c>
      <c r="B43" s="12">
        <v>0.1227</v>
      </c>
      <c r="C43" s="12">
        <f t="shared" si="0"/>
        <v>1.1305452065059154</v>
      </c>
      <c r="D43" s="12">
        <v>0.30459999999999998</v>
      </c>
      <c r="E43" s="2">
        <v>0.40300000000000002</v>
      </c>
      <c r="F43" s="2">
        <v>0.68700000000000006</v>
      </c>
    </row>
    <row r="44" spans="1:6" hidden="1" x14ac:dyDescent="0.15">
      <c r="A44" s="1" t="s">
        <v>44</v>
      </c>
      <c r="B44" s="12">
        <v>0.44729999999999998</v>
      </c>
      <c r="C44" s="12">
        <f t="shared" si="0"/>
        <v>1.5640834539458841</v>
      </c>
      <c r="D44" s="12">
        <v>0.68200000000000005</v>
      </c>
      <c r="E44" s="2">
        <v>0.65600000000000003</v>
      </c>
      <c r="F44" s="2">
        <v>0.51200000000000001</v>
      </c>
    </row>
    <row r="45" spans="1:6" hidden="1" x14ac:dyDescent="0.15">
      <c r="A45" s="1" t="s">
        <v>45</v>
      </c>
      <c r="B45" s="12">
        <v>-0.42799999999999999</v>
      </c>
      <c r="C45" s="12">
        <f t="shared" si="0"/>
        <v>0.65181141479873195</v>
      </c>
      <c r="D45" s="12">
        <v>0.71840000000000004</v>
      </c>
      <c r="E45" s="2">
        <v>-0.59599999999999997</v>
      </c>
      <c r="F45" s="2">
        <v>0.55130000000000001</v>
      </c>
    </row>
    <row r="46" spans="1:6" hidden="1" x14ac:dyDescent="0.15">
      <c r="A46" s="1" t="s">
        <v>46</v>
      </c>
      <c r="B46" s="12">
        <v>-0.254</v>
      </c>
      <c r="C46" s="12">
        <f t="shared" si="0"/>
        <v>0.77569180204647603</v>
      </c>
      <c r="D46" s="12">
        <v>0.21490000000000001</v>
      </c>
      <c r="E46" s="2">
        <v>-1.1819999999999999</v>
      </c>
      <c r="F46" s="2">
        <v>0.23730000000000001</v>
      </c>
    </row>
    <row r="47" spans="1:6" hidden="1" x14ac:dyDescent="0.15">
      <c r="A47" s="1" t="s">
        <v>47</v>
      </c>
      <c r="B47" s="12">
        <v>-0.25309999999999999</v>
      </c>
      <c r="C47" s="12">
        <f t="shared" si="0"/>
        <v>0.77639023891776549</v>
      </c>
      <c r="D47" s="12">
        <v>0.24329999999999999</v>
      </c>
      <c r="E47" s="2">
        <v>-1.04</v>
      </c>
      <c r="F47" s="2">
        <v>0.29820000000000002</v>
      </c>
    </row>
    <row r="48" spans="1:6" hidden="1" x14ac:dyDescent="0.15">
      <c r="A48" s="1" t="s">
        <v>48</v>
      </c>
      <c r="B48" s="12">
        <v>1.4019999999999999</v>
      </c>
      <c r="C48" s="12">
        <f t="shared" si="0"/>
        <v>4.0633184825879347</v>
      </c>
      <c r="D48" s="12">
        <v>27150</v>
      </c>
      <c r="E48" s="2">
        <v>0</v>
      </c>
      <c r="F48" s="2">
        <v>1</v>
      </c>
    </row>
    <row r="49" spans="1:7" x14ac:dyDescent="0.15">
      <c r="A49" s="1" t="s">
        <v>49</v>
      </c>
      <c r="B49" s="12">
        <v>-1.2869999999999999</v>
      </c>
      <c r="C49" s="12">
        <f t="shared" si="0"/>
        <v>0.27609783539719362</v>
      </c>
      <c r="D49" s="12">
        <v>0.53480000000000005</v>
      </c>
      <c r="E49" s="6">
        <v>-2.407</v>
      </c>
      <c r="F49" s="2">
        <v>1.61E-2</v>
      </c>
      <c r="G49" s="2" t="s">
        <v>104</v>
      </c>
    </row>
    <row r="50" spans="1:7" hidden="1" x14ac:dyDescent="0.15">
      <c r="A50" s="1" t="s">
        <v>50</v>
      </c>
      <c r="B50" s="12">
        <v>-0.33179999999999998</v>
      </c>
      <c r="C50" s="12">
        <f t="shared" si="0"/>
        <v>0.71763083466971733</v>
      </c>
      <c r="D50" s="12">
        <v>0.80530000000000002</v>
      </c>
      <c r="E50" s="2">
        <v>-0.41199999999999998</v>
      </c>
      <c r="F50" s="2">
        <v>0.68030000000000002</v>
      </c>
    </row>
    <row r="51" spans="1:7" hidden="1" x14ac:dyDescent="0.15">
      <c r="A51" s="1" t="s">
        <v>51</v>
      </c>
      <c r="B51" s="12">
        <v>2.198</v>
      </c>
      <c r="C51" s="12">
        <f t="shared" si="0"/>
        <v>9.0069815104349136</v>
      </c>
      <c r="D51" s="12">
        <v>1.4410000000000001</v>
      </c>
      <c r="E51" s="2">
        <v>1.526</v>
      </c>
      <c r="F51" s="2">
        <v>0.12709999999999999</v>
      </c>
    </row>
    <row r="52" spans="1:7" hidden="1" x14ac:dyDescent="0.15">
      <c r="A52" s="1" t="s">
        <v>52</v>
      </c>
      <c r="B52" s="12">
        <v>2.0820000000000002E-2</v>
      </c>
      <c r="C52" s="12">
        <f t="shared" si="0"/>
        <v>1.0210382482110385</v>
      </c>
      <c r="D52" s="12">
        <v>0.28699999999999998</v>
      </c>
      <c r="E52" s="2">
        <v>7.2999999999999995E-2</v>
      </c>
      <c r="F52" s="2">
        <v>0.94220000000000004</v>
      </c>
    </row>
    <row r="53" spans="1:7" hidden="1" x14ac:dyDescent="0.15">
      <c r="A53" s="1" t="s">
        <v>53</v>
      </c>
      <c r="B53" s="12">
        <v>-0.1244</v>
      </c>
      <c r="C53" s="12">
        <f t="shared" si="0"/>
        <v>0.88302655960736331</v>
      </c>
      <c r="D53" s="12">
        <v>0.2636</v>
      </c>
      <c r="E53" s="2">
        <v>-0.47199999999999998</v>
      </c>
      <c r="F53" s="2">
        <v>0.63690000000000002</v>
      </c>
    </row>
    <row r="54" spans="1:7" hidden="1" x14ac:dyDescent="0.15">
      <c r="A54" s="1" t="s">
        <v>54</v>
      </c>
      <c r="B54" s="12">
        <v>-0.1507</v>
      </c>
      <c r="C54" s="12">
        <f t="shared" si="0"/>
        <v>0.86010569166581929</v>
      </c>
      <c r="D54" s="12">
        <v>0.55559999999999998</v>
      </c>
      <c r="E54" s="2">
        <v>-0.27100000000000002</v>
      </c>
      <c r="F54" s="2">
        <v>0.78620000000000001</v>
      </c>
    </row>
    <row r="55" spans="1:7" hidden="1" x14ac:dyDescent="0.15">
      <c r="A55" s="1" t="s">
        <v>55</v>
      </c>
      <c r="B55" s="12">
        <v>-8.0350000000000005E-2</v>
      </c>
      <c r="C55" s="12">
        <f t="shared" si="0"/>
        <v>0.92279331219968086</v>
      </c>
      <c r="D55" s="12">
        <v>0.3891</v>
      </c>
      <c r="E55" s="2">
        <v>-0.20599999999999999</v>
      </c>
      <c r="F55" s="2">
        <v>0.83640000000000003</v>
      </c>
    </row>
    <row r="56" spans="1:7" hidden="1" x14ac:dyDescent="0.15">
      <c r="A56" s="1" t="s">
        <v>56</v>
      </c>
      <c r="B56" s="12">
        <v>-0.4007</v>
      </c>
      <c r="C56" s="12">
        <f t="shared" si="0"/>
        <v>0.66985098619351235</v>
      </c>
      <c r="D56" s="12">
        <v>0.31380000000000002</v>
      </c>
      <c r="E56" s="2">
        <v>-1.2769999999999999</v>
      </c>
      <c r="F56" s="2">
        <v>0.2016</v>
      </c>
    </row>
    <row r="57" spans="1:7" hidden="1" x14ac:dyDescent="0.15">
      <c r="A57" s="1" t="s">
        <v>57</v>
      </c>
      <c r="B57" s="12">
        <v>-0.18160000000000001</v>
      </c>
      <c r="C57" s="12">
        <f t="shared" si="0"/>
        <v>0.83393484764890147</v>
      </c>
      <c r="D57" s="12">
        <v>0.25459999999999999</v>
      </c>
      <c r="E57" s="2">
        <v>-0.71299999999999997</v>
      </c>
      <c r="F57" s="2">
        <v>0.47560000000000002</v>
      </c>
    </row>
    <row r="58" spans="1:7" hidden="1" x14ac:dyDescent="0.15">
      <c r="A58" s="1" t="s">
        <v>58</v>
      </c>
      <c r="B58" s="12">
        <v>0.1057</v>
      </c>
      <c r="C58" s="12">
        <f t="shared" si="0"/>
        <v>1.1114883799705606</v>
      </c>
      <c r="D58" s="12">
        <v>0.26340000000000002</v>
      </c>
      <c r="E58" s="2">
        <v>0.40100000000000002</v>
      </c>
      <c r="F58" s="2">
        <v>0.68830000000000002</v>
      </c>
    </row>
    <row r="59" spans="1:7" hidden="1" x14ac:dyDescent="0.15">
      <c r="A59" s="1" t="s">
        <v>59</v>
      </c>
      <c r="B59" s="12">
        <v>-0.90469999999999995</v>
      </c>
      <c r="C59" s="12">
        <f t="shared" si="0"/>
        <v>0.40466326587475515</v>
      </c>
      <c r="D59" s="12">
        <v>0.78910000000000002</v>
      </c>
      <c r="E59" s="2">
        <v>-1.1459999999999999</v>
      </c>
      <c r="F59" s="2">
        <v>0.25159999999999999</v>
      </c>
    </row>
    <row r="60" spans="1:7" x14ac:dyDescent="0.15">
      <c r="A60" s="1" t="s">
        <v>60</v>
      </c>
      <c r="B60" s="12">
        <v>-0.54730000000000001</v>
      </c>
      <c r="C60" s="12">
        <f t="shared" si="0"/>
        <v>0.57850967974453493</v>
      </c>
      <c r="D60" s="12">
        <v>0.2417</v>
      </c>
      <c r="E60" s="6">
        <v>-2.2650000000000001</v>
      </c>
      <c r="F60" s="2">
        <v>2.35E-2</v>
      </c>
      <c r="G60" s="2" t="s">
        <v>104</v>
      </c>
    </row>
    <row r="61" spans="1:7" hidden="1" x14ac:dyDescent="0.15">
      <c r="A61" s="1" t="s">
        <v>61</v>
      </c>
      <c r="B61" s="12">
        <v>-0.2157</v>
      </c>
      <c r="C61" s="12">
        <f t="shared" si="0"/>
        <v>0.80597705872575642</v>
      </c>
      <c r="D61" s="12">
        <v>0.42120000000000002</v>
      </c>
      <c r="E61" s="2">
        <v>-0.51200000000000001</v>
      </c>
      <c r="F61" s="2">
        <v>0.60850000000000004</v>
      </c>
    </row>
    <row r="62" spans="1:7" hidden="1" x14ac:dyDescent="0.15">
      <c r="A62" s="1" t="s">
        <v>62</v>
      </c>
      <c r="B62" s="12">
        <v>5.815E-2</v>
      </c>
      <c r="C62" s="12">
        <f t="shared" si="0"/>
        <v>1.0598739648820339</v>
      </c>
      <c r="D62" s="12">
        <v>0.35410000000000003</v>
      </c>
      <c r="E62" s="2">
        <v>0.16400000000000001</v>
      </c>
      <c r="F62" s="2">
        <v>0.86960000000000004</v>
      </c>
    </row>
    <row r="63" spans="1:7" hidden="1" x14ac:dyDescent="0.15">
      <c r="A63" s="1" t="s">
        <v>63</v>
      </c>
      <c r="B63" s="12">
        <v>-0.31259999999999999</v>
      </c>
      <c r="C63" s="12">
        <f t="shared" si="0"/>
        <v>0.73154247104170333</v>
      </c>
      <c r="D63" s="12">
        <v>0.50539999999999996</v>
      </c>
      <c r="E63" s="2">
        <v>-0.61899999999999999</v>
      </c>
      <c r="F63" s="2">
        <v>0.53620000000000001</v>
      </c>
    </row>
    <row r="64" spans="1:7" hidden="1" x14ac:dyDescent="0.15">
      <c r="A64" s="1" t="s">
        <v>64</v>
      </c>
      <c r="B64" s="12">
        <v>-0.56469999999999998</v>
      </c>
      <c r="C64" s="12">
        <f t="shared" si="0"/>
        <v>0.56853068038033217</v>
      </c>
      <c r="D64" s="12">
        <v>0.86419999999999997</v>
      </c>
      <c r="E64" s="2">
        <v>-0.65300000000000002</v>
      </c>
      <c r="F64" s="2">
        <v>0.51349999999999996</v>
      </c>
    </row>
    <row r="65" spans="1:7" hidden="1" x14ac:dyDescent="0.15">
      <c r="A65" s="1" t="s">
        <v>65</v>
      </c>
      <c r="B65" s="12">
        <v>-0.30730000000000002</v>
      </c>
      <c r="C65" s="12">
        <f t="shared" si="0"/>
        <v>0.73542993882794794</v>
      </c>
      <c r="D65" s="12">
        <v>0.25269999999999998</v>
      </c>
      <c r="E65" s="2">
        <v>-1.216</v>
      </c>
      <c r="F65" s="2">
        <v>0.224</v>
      </c>
    </row>
    <row r="66" spans="1:7" hidden="1" x14ac:dyDescent="0.15">
      <c r="A66" s="1" t="s">
        <v>66</v>
      </c>
      <c r="B66" s="12">
        <v>-7.6829999999999996E-2</v>
      </c>
      <c r="C66" s="12">
        <f t="shared" si="0"/>
        <v>0.9260472682614751</v>
      </c>
      <c r="D66" s="12">
        <v>0.94579999999999997</v>
      </c>
      <c r="E66" s="2">
        <v>-8.1000000000000003E-2</v>
      </c>
      <c r="F66" s="2">
        <v>0.93530000000000002</v>
      </c>
    </row>
    <row r="67" spans="1:7" x14ac:dyDescent="0.15">
      <c r="A67" s="1" t="s">
        <v>67</v>
      </c>
      <c r="B67" s="12">
        <v>-1.121</v>
      </c>
      <c r="C67" s="12">
        <f t="shared" ref="C67:C98" si="1">EXP(B67)</f>
        <v>0.32595367791394736</v>
      </c>
      <c r="D67" s="12">
        <v>0.55730000000000002</v>
      </c>
      <c r="E67" s="6">
        <v>-2.0110000000000001</v>
      </c>
      <c r="F67" s="2">
        <v>4.4299999999999999E-2</v>
      </c>
      <c r="G67" s="2" t="s">
        <v>104</v>
      </c>
    </row>
    <row r="68" spans="1:7" hidden="1" x14ac:dyDescent="0.15">
      <c r="A68" s="1" t="s">
        <v>68</v>
      </c>
      <c r="B68" s="12">
        <v>0.68840000000000001</v>
      </c>
      <c r="C68" s="12">
        <f t="shared" si="1"/>
        <v>1.9905281389852771</v>
      </c>
      <c r="D68" s="12">
        <v>0.81740000000000002</v>
      </c>
      <c r="E68" s="2">
        <v>0.84199999999999997</v>
      </c>
      <c r="F68" s="2">
        <v>0.3997</v>
      </c>
    </row>
    <row r="69" spans="1:7" hidden="1" x14ac:dyDescent="0.15">
      <c r="A69" s="1" t="s">
        <v>69</v>
      </c>
      <c r="B69" s="12">
        <v>-0.14949999999999999</v>
      </c>
      <c r="C69" s="12">
        <f t="shared" si="1"/>
        <v>0.86113843801970102</v>
      </c>
      <c r="D69" s="12">
        <v>0.22889999999999999</v>
      </c>
      <c r="E69" s="2">
        <v>-0.65300000000000002</v>
      </c>
      <c r="F69" s="2">
        <v>0.51390000000000002</v>
      </c>
    </row>
    <row r="70" spans="1:7" x14ac:dyDescent="0.15">
      <c r="A70" s="1" t="s">
        <v>70</v>
      </c>
      <c r="B70" s="12">
        <v>-1.952</v>
      </c>
      <c r="C70" s="12">
        <f t="shared" si="1"/>
        <v>0.14198980780187978</v>
      </c>
      <c r="D70" s="12">
        <v>0.8196</v>
      </c>
      <c r="E70" s="6">
        <v>-2.3820000000000001</v>
      </c>
      <c r="F70" s="2">
        <v>1.72E-2</v>
      </c>
      <c r="G70" s="2" t="s">
        <v>104</v>
      </c>
    </row>
    <row r="71" spans="1:7" hidden="1" x14ac:dyDescent="0.15">
      <c r="A71" s="1" t="s">
        <v>71</v>
      </c>
      <c r="B71" s="12">
        <v>-1.553E-2</v>
      </c>
      <c r="C71" s="12">
        <f t="shared" si="1"/>
        <v>0.98458996860960479</v>
      </c>
      <c r="D71" s="12">
        <v>0.51629999999999998</v>
      </c>
      <c r="E71" s="2">
        <v>-0.03</v>
      </c>
      <c r="F71" s="2">
        <v>0.97599999999999998</v>
      </c>
    </row>
    <row r="72" spans="1:7" x14ac:dyDescent="0.15">
      <c r="A72" s="1" t="s">
        <v>72</v>
      </c>
      <c r="B72" s="12">
        <v>-0.50509999999999999</v>
      </c>
      <c r="C72" s="12">
        <f t="shared" si="1"/>
        <v>0.60344522788692512</v>
      </c>
      <c r="D72" s="12">
        <v>0.2346</v>
      </c>
      <c r="E72" s="6">
        <v>-2.1539999999999999</v>
      </c>
      <c r="F72" s="2">
        <v>3.1300000000000001E-2</v>
      </c>
      <c r="G72" s="2" t="s">
        <v>104</v>
      </c>
    </row>
    <row r="73" spans="1:7" hidden="1" x14ac:dyDescent="0.15">
      <c r="A73" s="1" t="s">
        <v>73</v>
      </c>
      <c r="B73" s="12">
        <v>-0.22489999999999999</v>
      </c>
      <c r="C73" s="12">
        <f t="shared" si="1"/>
        <v>0.79859607437396718</v>
      </c>
      <c r="D73" s="12">
        <v>0.52829999999999999</v>
      </c>
      <c r="E73" s="2">
        <v>-0.42599999999999999</v>
      </c>
      <c r="F73" s="2">
        <v>0.6704</v>
      </c>
    </row>
    <row r="74" spans="1:7" x14ac:dyDescent="0.15">
      <c r="A74" s="1" t="s">
        <v>74</v>
      </c>
      <c r="B74" s="12">
        <v>-1.3380000000000001</v>
      </c>
      <c r="C74" s="12">
        <f t="shared" si="1"/>
        <v>0.26236988395812599</v>
      </c>
      <c r="D74" s="12">
        <v>0.59960000000000002</v>
      </c>
      <c r="E74" s="6">
        <v>-2.2320000000000002</v>
      </c>
      <c r="F74" s="2">
        <v>2.5600000000000001E-2</v>
      </c>
      <c r="G74" s="2" t="s">
        <v>104</v>
      </c>
    </row>
    <row r="75" spans="1:7" hidden="1" x14ac:dyDescent="0.15">
      <c r="A75" s="1" t="s">
        <v>75</v>
      </c>
      <c r="B75" s="12">
        <v>-0.1958</v>
      </c>
      <c r="C75" s="12">
        <f t="shared" si="1"/>
        <v>0.82217665356646297</v>
      </c>
      <c r="D75" s="12">
        <v>0.20849999999999999</v>
      </c>
      <c r="E75" s="2">
        <v>-0.93899999999999995</v>
      </c>
      <c r="F75" s="2">
        <v>0.34760000000000002</v>
      </c>
    </row>
    <row r="76" spans="1:7" hidden="1" x14ac:dyDescent="0.15">
      <c r="A76" s="1" t="s">
        <v>76</v>
      </c>
      <c r="B76" s="12">
        <v>1.5760000000000001</v>
      </c>
      <c r="C76" s="12">
        <f t="shared" si="1"/>
        <v>4.8355747759045231</v>
      </c>
      <c r="D76" s="12">
        <v>4.0990000000000002</v>
      </c>
      <c r="E76" s="2">
        <v>0.38500000000000001</v>
      </c>
      <c r="F76" s="2">
        <v>0.70050000000000001</v>
      </c>
    </row>
    <row r="77" spans="1:7" hidden="1" x14ac:dyDescent="0.15">
      <c r="A77" s="1" t="s">
        <v>77</v>
      </c>
      <c r="B77" s="12">
        <v>-0.2094</v>
      </c>
      <c r="C77" s="12">
        <f t="shared" si="1"/>
        <v>0.81107074245211885</v>
      </c>
      <c r="D77" s="12">
        <v>0.53380000000000005</v>
      </c>
      <c r="E77" s="2">
        <v>-0.39200000000000002</v>
      </c>
      <c r="F77" s="2">
        <v>0.69489999999999996</v>
      </c>
    </row>
    <row r="78" spans="1:7" hidden="1" x14ac:dyDescent="0.15">
      <c r="A78" s="1" t="s">
        <v>78</v>
      </c>
      <c r="B78" s="12">
        <v>-0.29330000000000001</v>
      </c>
      <c r="C78" s="12">
        <f t="shared" si="1"/>
        <v>0.74579836762265173</v>
      </c>
      <c r="D78" s="12">
        <v>0.29580000000000001</v>
      </c>
      <c r="E78" s="2">
        <v>-0.99199999999999999</v>
      </c>
      <c r="F78" s="2">
        <v>0.32129999999999997</v>
      </c>
    </row>
    <row r="79" spans="1:7" hidden="1" x14ac:dyDescent="0.15">
      <c r="A79" s="1" t="s">
        <v>79</v>
      </c>
      <c r="B79" s="12">
        <v>-1.4390000000000001</v>
      </c>
      <c r="C79" s="12">
        <f t="shared" si="1"/>
        <v>0.23716480494418105</v>
      </c>
      <c r="D79" s="12">
        <v>0.99270000000000003</v>
      </c>
      <c r="E79" s="2">
        <v>-1.4490000000000001</v>
      </c>
      <c r="F79" s="2">
        <v>0.14729999999999999</v>
      </c>
    </row>
    <row r="80" spans="1:7" hidden="1" x14ac:dyDescent="0.15">
      <c r="A80" s="1" t="s">
        <v>80</v>
      </c>
      <c r="B80" s="12">
        <v>1.6500000000000001E-2</v>
      </c>
      <c r="C80" s="12">
        <f t="shared" si="1"/>
        <v>1.0166368767860556</v>
      </c>
      <c r="D80" s="12">
        <v>0.33779999999999999</v>
      </c>
      <c r="E80" s="2">
        <v>4.9000000000000002E-2</v>
      </c>
      <c r="F80" s="2">
        <v>0.96099999999999997</v>
      </c>
    </row>
    <row r="81" spans="1:7" hidden="1" x14ac:dyDescent="0.15">
      <c r="A81" s="1" t="s">
        <v>81</v>
      </c>
      <c r="B81" s="12">
        <v>-0.28920000000000001</v>
      </c>
      <c r="C81" s="12">
        <f t="shared" si="1"/>
        <v>0.7488624179408343</v>
      </c>
      <c r="D81" s="12">
        <v>0.19070000000000001</v>
      </c>
      <c r="E81" s="2">
        <v>-1.516</v>
      </c>
      <c r="F81" s="2">
        <v>0.12939999999999999</v>
      </c>
    </row>
    <row r="82" spans="1:7" hidden="1" x14ac:dyDescent="0.15">
      <c r="A82" s="1" t="s">
        <v>82</v>
      </c>
      <c r="B82" s="12">
        <v>-1.1820000000000001E-2</v>
      </c>
      <c r="C82" s="12">
        <f t="shared" si="1"/>
        <v>0.98824958177796784</v>
      </c>
      <c r="D82" s="12">
        <v>0.63839999999999997</v>
      </c>
      <c r="E82" s="2">
        <v>-1.9E-2</v>
      </c>
      <c r="F82" s="2">
        <v>0.98519999999999996</v>
      </c>
    </row>
    <row r="83" spans="1:7" hidden="1" x14ac:dyDescent="0.15">
      <c r="A83" s="1" t="s">
        <v>83</v>
      </c>
      <c r="B83" s="12">
        <v>-0.29649999999999999</v>
      </c>
      <c r="C83" s="12">
        <f t="shared" si="1"/>
        <v>0.74341562726410437</v>
      </c>
      <c r="D83" s="12">
        <v>0.2445</v>
      </c>
      <c r="E83" s="2">
        <v>-1.212</v>
      </c>
      <c r="F83" s="2">
        <v>0.22539999999999999</v>
      </c>
    </row>
    <row r="84" spans="1:7" hidden="1" x14ac:dyDescent="0.15">
      <c r="A84" s="1" t="s">
        <v>84</v>
      </c>
      <c r="B84" s="12">
        <v>-15.26</v>
      </c>
      <c r="C84" s="12">
        <f t="shared" si="1"/>
        <v>2.3586646932392362E-7</v>
      </c>
      <c r="D84" s="12">
        <v>48200</v>
      </c>
      <c r="E84" s="2">
        <v>0</v>
      </c>
      <c r="F84" s="2">
        <v>0.99970000000000003</v>
      </c>
    </row>
    <row r="85" spans="1:7" hidden="1" x14ac:dyDescent="0.15">
      <c r="A85" s="1" t="s">
        <v>85</v>
      </c>
      <c r="B85" s="12">
        <v>-0.21290000000000001</v>
      </c>
      <c r="C85" s="12">
        <f t="shared" si="1"/>
        <v>0.8082369568711254</v>
      </c>
      <c r="D85" s="12">
        <v>1.5940000000000001</v>
      </c>
      <c r="E85" s="2">
        <v>-0.13400000000000001</v>
      </c>
      <c r="F85" s="2">
        <v>0.89380000000000004</v>
      </c>
    </row>
    <row r="86" spans="1:7" hidden="1" x14ac:dyDescent="0.15">
      <c r="A86" s="1" t="s">
        <v>86</v>
      </c>
      <c r="B86" s="12">
        <v>0.13500000000000001</v>
      </c>
      <c r="C86" s="12">
        <f t="shared" si="1"/>
        <v>1.1445367843513146</v>
      </c>
      <c r="D86" s="12">
        <v>0.43909999999999999</v>
      </c>
      <c r="E86" s="2">
        <v>0.307</v>
      </c>
      <c r="F86" s="2">
        <v>0.75849999999999995</v>
      </c>
    </row>
    <row r="87" spans="1:7" x14ac:dyDescent="0.15">
      <c r="A87" s="1" t="s">
        <v>87</v>
      </c>
      <c r="B87" s="12">
        <v>-0.98729999999999996</v>
      </c>
      <c r="C87" s="12">
        <f t="shared" si="1"/>
        <v>0.37258130370462456</v>
      </c>
      <c r="D87" s="12">
        <v>0.39889999999999998</v>
      </c>
      <c r="E87" s="6">
        <v>-2.4750000000000001</v>
      </c>
      <c r="F87" s="2">
        <v>1.3299999999999999E-2</v>
      </c>
      <c r="G87" s="2" t="s">
        <v>104</v>
      </c>
    </row>
    <row r="88" spans="1:7" hidden="1" x14ac:dyDescent="0.15">
      <c r="A88" s="1" t="s">
        <v>88</v>
      </c>
      <c r="B88" s="12">
        <v>-0.52639999999999998</v>
      </c>
      <c r="C88" s="12">
        <f t="shared" si="1"/>
        <v>0.59072776631051527</v>
      </c>
      <c r="D88" s="12">
        <v>0.41120000000000001</v>
      </c>
      <c r="E88" s="2">
        <v>-1.28</v>
      </c>
      <c r="F88" s="2">
        <v>0.20039999999999999</v>
      </c>
    </row>
    <row r="89" spans="1:7" hidden="1" x14ac:dyDescent="0.15">
      <c r="A89" s="1" t="s">
        <v>89</v>
      </c>
      <c r="B89" s="12">
        <v>-21.43</v>
      </c>
      <c r="C89" s="12">
        <f t="shared" si="1"/>
        <v>4.9325245196458196E-10</v>
      </c>
      <c r="D89" s="12">
        <v>13320</v>
      </c>
      <c r="E89" s="2">
        <v>-2E-3</v>
      </c>
      <c r="F89" s="2">
        <v>0.99870000000000003</v>
      </c>
    </row>
    <row r="90" spans="1:7" x14ac:dyDescent="0.15">
      <c r="A90" s="1" t="s">
        <v>90</v>
      </c>
      <c r="B90" s="12">
        <v>-8.0850000000000009</v>
      </c>
      <c r="C90" s="12">
        <f t="shared" si="1"/>
        <v>3.0812654468605194E-4</v>
      </c>
      <c r="D90" s="12">
        <v>0.50919999999999999</v>
      </c>
      <c r="E90" s="2">
        <v>-15.875999999999999</v>
      </c>
      <c r="F90" s="2" t="s">
        <v>102</v>
      </c>
      <c r="G90" s="2" t="s">
        <v>103</v>
      </c>
    </row>
    <row r="91" spans="1:7" hidden="1" x14ac:dyDescent="0.15">
      <c r="A91" s="1" t="s">
        <v>91</v>
      </c>
      <c r="B91" s="12">
        <v>45.07</v>
      </c>
      <c r="C91" s="12">
        <f t="shared" si="1"/>
        <v>3.7467291515305165E+19</v>
      </c>
      <c r="D91" s="12">
        <v>11310</v>
      </c>
      <c r="E91" s="2">
        <v>4.0000000000000001E-3</v>
      </c>
      <c r="F91" s="2">
        <v>0.99680000000000002</v>
      </c>
    </row>
    <row r="92" spans="1:7" hidden="1" x14ac:dyDescent="0.15">
      <c r="A92" s="1" t="s">
        <v>92</v>
      </c>
      <c r="B92" s="12">
        <v>-26.68</v>
      </c>
      <c r="C92" s="12">
        <f t="shared" si="1"/>
        <v>2.5883513171254756E-12</v>
      </c>
      <c r="D92" s="12">
        <v>8931</v>
      </c>
      <c r="E92" s="2">
        <v>-3.0000000000000001E-3</v>
      </c>
      <c r="F92" s="2">
        <v>0.99760000000000004</v>
      </c>
    </row>
    <row r="93" spans="1:7" hidden="1" x14ac:dyDescent="0.15">
      <c r="A93" s="1" t="s">
        <v>93</v>
      </c>
      <c r="B93" s="12">
        <v>-25.88</v>
      </c>
      <c r="C93" s="12">
        <f t="shared" si="1"/>
        <v>5.7604817935801365E-12</v>
      </c>
      <c r="D93" s="12">
        <v>3812</v>
      </c>
      <c r="E93" s="2">
        <v>-7.0000000000000001E-3</v>
      </c>
      <c r="F93" s="2">
        <v>0.99460000000000004</v>
      </c>
    </row>
    <row r="94" spans="1:7" hidden="1" x14ac:dyDescent="0.15">
      <c r="A94" s="1" t="s">
        <v>94</v>
      </c>
      <c r="B94" s="12">
        <v>-47.86</v>
      </c>
      <c r="C94" s="12">
        <f t="shared" si="1"/>
        <v>1.6393289034492922E-21</v>
      </c>
      <c r="D94" s="12">
        <v>712.7</v>
      </c>
      <c r="E94" s="2">
        <v>-6.7000000000000004E-2</v>
      </c>
      <c r="F94" s="2">
        <v>0.94650000000000001</v>
      </c>
    </row>
    <row r="95" spans="1:7" hidden="1" x14ac:dyDescent="0.15">
      <c r="A95" s="1" t="s">
        <v>95</v>
      </c>
      <c r="B95" s="12">
        <v>-24.27</v>
      </c>
      <c r="C95" s="12">
        <f t="shared" si="1"/>
        <v>2.8818602994653656E-11</v>
      </c>
      <c r="D95" s="12">
        <v>8409</v>
      </c>
      <c r="E95" s="2">
        <v>-3.0000000000000001E-3</v>
      </c>
      <c r="F95" s="2">
        <v>0.99770000000000003</v>
      </c>
    </row>
    <row r="96" spans="1:7" hidden="1" x14ac:dyDescent="0.15">
      <c r="A96" s="1" t="s">
        <v>96</v>
      </c>
      <c r="B96" s="12">
        <v>19.55</v>
      </c>
      <c r="C96" s="12">
        <f t="shared" si="1"/>
        <v>309354986.78036124</v>
      </c>
      <c r="D96" s="12">
        <v>884.2</v>
      </c>
      <c r="E96" s="2">
        <v>2.1999999999999999E-2</v>
      </c>
      <c r="F96" s="2">
        <v>0.98240000000000005</v>
      </c>
    </row>
    <row r="97" spans="1:6" hidden="1" x14ac:dyDescent="0.15">
      <c r="A97" s="1" t="s">
        <v>97</v>
      </c>
      <c r="B97" s="12">
        <v>44.71</v>
      </c>
      <c r="C97" s="12">
        <f t="shared" si="1"/>
        <v>2.6140042292230435E+19</v>
      </c>
      <c r="D97" s="12">
        <v>14510</v>
      </c>
      <c r="E97" s="2">
        <v>3.0000000000000001E-3</v>
      </c>
      <c r="F97" s="2">
        <v>0.99750000000000005</v>
      </c>
    </row>
    <row r="98" spans="1:6" hidden="1" x14ac:dyDescent="0.15">
      <c r="A98" s="1" t="s">
        <v>98</v>
      </c>
      <c r="B98" s="12">
        <v>17.88</v>
      </c>
      <c r="C98" s="12">
        <f t="shared" si="1"/>
        <v>58235168.502116203</v>
      </c>
      <c r="D98" s="12">
        <v>1801</v>
      </c>
      <c r="E98" s="2">
        <v>0.01</v>
      </c>
      <c r="F98" s="2">
        <v>0.99209999999999998</v>
      </c>
    </row>
  </sheetData>
  <autoFilter ref="A1:G98" xr:uid="{10666F38-8901-0443-8989-34426375F3A8}">
    <filterColumn colId="6">
      <customFilters>
        <customFilter operator="notEqual" val=" "/>
      </customFilters>
    </filterColumn>
  </autoFilter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4E287-2BD6-CC4B-A527-9570EBAD7AAB}">
  <sheetPr filterMode="1"/>
  <dimension ref="A1:G69"/>
  <sheetViews>
    <sheetView workbookViewId="0">
      <pane ySplit="1" topLeftCell="A2" activePane="bottomLeft" state="frozen"/>
      <selection pane="bottomLeft" activeCell="A75" sqref="A75"/>
    </sheetView>
  </sheetViews>
  <sheetFormatPr baseColWidth="10" defaultRowHeight="14" x14ac:dyDescent="0.15"/>
  <cols>
    <col min="1" max="1" width="43.6640625" style="2" customWidth="1"/>
    <col min="2" max="2" width="11" style="2" bestFit="1" customWidth="1"/>
    <col min="3" max="3" width="14.33203125" style="2" customWidth="1"/>
    <col min="4" max="4" width="12" style="2" customWidth="1"/>
    <col min="5" max="5" width="11" style="2" bestFit="1" customWidth="1"/>
    <col min="6" max="6" width="11.33203125" style="2" bestFit="1" customWidth="1"/>
    <col min="7" max="7" width="15.6640625" style="2" customWidth="1"/>
    <col min="8" max="16384" width="10.83203125" style="2"/>
  </cols>
  <sheetData>
    <row r="1" spans="1:7" x14ac:dyDescent="0.15">
      <c r="A1" s="9" t="s">
        <v>1</v>
      </c>
      <c r="B1" s="9" t="s">
        <v>106</v>
      </c>
      <c r="C1" s="9" t="s">
        <v>113</v>
      </c>
      <c r="D1" s="9" t="s">
        <v>2</v>
      </c>
      <c r="E1" s="9" t="s">
        <v>115</v>
      </c>
      <c r="F1" s="9" t="s">
        <v>99</v>
      </c>
      <c r="G1" s="9" t="s">
        <v>114</v>
      </c>
    </row>
    <row r="2" spans="1:7" x14ac:dyDescent="0.15">
      <c r="A2" s="2" t="s">
        <v>107</v>
      </c>
      <c r="B2" s="2">
        <v>0.88806759999999996</v>
      </c>
      <c r="C2" s="2">
        <v>2.4304285999999999</v>
      </c>
      <c r="D2" s="1">
        <v>1.9578000000000002E-2</v>
      </c>
      <c r="E2" s="1">
        <v>45.36</v>
      </c>
      <c r="F2" s="2" t="s">
        <v>102</v>
      </c>
      <c r="G2" s="2" t="s">
        <v>103</v>
      </c>
    </row>
    <row r="3" spans="1:7" x14ac:dyDescent="0.15">
      <c r="A3" s="2" t="s">
        <v>108</v>
      </c>
      <c r="B3" s="2">
        <v>2.532E-3</v>
      </c>
      <c r="C3" s="2">
        <v>1.0025352000000001</v>
      </c>
      <c r="D3" s="1">
        <v>2.1919999999999999E-4</v>
      </c>
      <c r="E3" s="1">
        <v>11.551</v>
      </c>
      <c r="F3" s="2" t="s">
        <v>102</v>
      </c>
      <c r="G3" s="2" t="s">
        <v>103</v>
      </c>
    </row>
    <row r="4" spans="1:7" x14ac:dyDescent="0.15">
      <c r="A4" s="2" t="s">
        <v>18</v>
      </c>
      <c r="B4" s="2">
        <v>0.16457640000000001</v>
      </c>
      <c r="C4" s="2">
        <v>1.1788936999999999</v>
      </c>
      <c r="D4" s="1">
        <v>1.27461E-2</v>
      </c>
      <c r="E4" s="1">
        <v>12.912000000000001</v>
      </c>
      <c r="F4" s="2" t="s">
        <v>102</v>
      </c>
      <c r="G4" s="2" t="s">
        <v>103</v>
      </c>
    </row>
    <row r="5" spans="1:7" hidden="1" x14ac:dyDescent="0.15">
      <c r="A5" s="2" t="s">
        <v>20</v>
      </c>
      <c r="B5" s="2">
        <v>2.6594199999999998E-2</v>
      </c>
      <c r="C5" s="2">
        <v>1.0269509000000001</v>
      </c>
      <c r="D5" s="1">
        <v>2.2701599999999999E-2</v>
      </c>
      <c r="E5" s="1">
        <v>1.171</v>
      </c>
      <c r="F5" s="2">
        <v>0.24145</v>
      </c>
    </row>
    <row r="6" spans="1:7" hidden="1" x14ac:dyDescent="0.15">
      <c r="A6" s="2" t="s">
        <v>21</v>
      </c>
      <c r="B6" s="2">
        <v>2.2784499999999999E-2</v>
      </c>
      <c r="C6" s="2">
        <v>1.0230461</v>
      </c>
      <c r="D6" s="1">
        <v>1.4465E-2</v>
      </c>
      <c r="E6" s="1">
        <v>1.575</v>
      </c>
      <c r="F6" s="2">
        <v>0.11527</v>
      </c>
    </row>
    <row r="7" spans="1:7" hidden="1" x14ac:dyDescent="0.15">
      <c r="A7" s="2" t="s">
        <v>23</v>
      </c>
      <c r="B7" s="2">
        <v>3.1442100000000001E-2</v>
      </c>
      <c r="C7" s="2">
        <v>1.0319415999999999</v>
      </c>
      <c r="D7" s="1">
        <v>2.00567E-2</v>
      </c>
      <c r="E7" s="1">
        <v>1.5680000000000001</v>
      </c>
      <c r="F7" s="2">
        <v>0.11701</v>
      </c>
    </row>
    <row r="8" spans="1:7" x14ac:dyDescent="0.15">
      <c r="A8" s="2" t="s">
        <v>26</v>
      </c>
      <c r="B8" s="2">
        <v>0.129021</v>
      </c>
      <c r="C8" s="2">
        <v>1.1377139999999999</v>
      </c>
      <c r="D8" s="1">
        <v>1.9465E-2</v>
      </c>
      <c r="E8" s="1">
        <v>6.6280000000000001</v>
      </c>
      <c r="F8" s="3">
        <v>3.6500000000000003E-11</v>
      </c>
      <c r="G8" s="2" t="s">
        <v>103</v>
      </c>
    </row>
    <row r="9" spans="1:7" x14ac:dyDescent="0.15">
      <c r="A9" s="2" t="s">
        <v>27</v>
      </c>
      <c r="B9" s="2">
        <v>0.3220498</v>
      </c>
      <c r="C9" s="2">
        <v>1.3799535000000001</v>
      </c>
      <c r="D9" s="1">
        <v>3.8999499999999999E-2</v>
      </c>
      <c r="E9" s="1">
        <v>8.2579999999999991</v>
      </c>
      <c r="F9" s="2" t="s">
        <v>102</v>
      </c>
      <c r="G9" s="2" t="s">
        <v>103</v>
      </c>
    </row>
    <row r="10" spans="1:7" hidden="1" x14ac:dyDescent="0.15">
      <c r="A10" s="2" t="s">
        <v>29</v>
      </c>
      <c r="B10" s="2">
        <v>-2.4809100000000001E-2</v>
      </c>
      <c r="C10" s="2">
        <v>0.97549609999999998</v>
      </c>
      <c r="D10" s="1">
        <v>1.30919E-2</v>
      </c>
      <c r="E10" s="1">
        <v>-1.895</v>
      </c>
      <c r="F10" s="2">
        <v>5.8130000000000001E-2</v>
      </c>
    </row>
    <row r="11" spans="1:7" hidden="1" x14ac:dyDescent="0.15">
      <c r="A11" s="2" t="s">
        <v>30</v>
      </c>
      <c r="B11" s="2">
        <v>2.0273099999999999E-2</v>
      </c>
      <c r="C11" s="2">
        <v>1.0204800000000001</v>
      </c>
      <c r="D11" s="1">
        <v>1.48825E-2</v>
      </c>
      <c r="E11" s="1">
        <v>1.3620000000000001</v>
      </c>
      <c r="F11" s="2">
        <v>0.17318</v>
      </c>
    </row>
    <row r="12" spans="1:7" hidden="1" x14ac:dyDescent="0.15">
      <c r="A12" s="2" t="s">
        <v>35</v>
      </c>
      <c r="B12" s="2">
        <v>-6.2907299999999999E-2</v>
      </c>
      <c r="C12" s="2">
        <v>0.93903049999999999</v>
      </c>
      <c r="D12" s="1">
        <v>0.29765130000000001</v>
      </c>
      <c r="E12" s="1">
        <v>-0.21099999999999999</v>
      </c>
      <c r="F12" s="2">
        <v>0.83262000000000003</v>
      </c>
    </row>
    <row r="13" spans="1:7" hidden="1" x14ac:dyDescent="0.15">
      <c r="A13" s="2" t="s">
        <v>36</v>
      </c>
      <c r="B13" s="2">
        <v>7.8155500000000003E-2</v>
      </c>
      <c r="C13" s="2">
        <v>1.0812908000000001</v>
      </c>
      <c r="D13" s="1">
        <v>0.21070130000000001</v>
      </c>
      <c r="E13" s="1">
        <v>0.371</v>
      </c>
      <c r="F13" s="2">
        <v>0.7107</v>
      </c>
    </row>
    <row r="14" spans="1:7" hidden="1" x14ac:dyDescent="0.15">
      <c r="A14" s="2" t="s">
        <v>37</v>
      </c>
      <c r="B14" s="2">
        <v>-9.9103000000000004E-3</v>
      </c>
      <c r="C14" s="2">
        <v>0.99013859999999998</v>
      </c>
      <c r="D14" s="1">
        <v>3.3481900000000002E-2</v>
      </c>
      <c r="E14" s="1">
        <v>-0.29599999999999999</v>
      </c>
      <c r="F14" s="2">
        <v>0.76724999999999999</v>
      </c>
    </row>
    <row r="15" spans="1:7" hidden="1" x14ac:dyDescent="0.15">
      <c r="A15" s="2" t="s">
        <v>38</v>
      </c>
      <c r="B15" s="2">
        <v>0.2107849</v>
      </c>
      <c r="C15" s="2">
        <v>1.2346467000000001</v>
      </c>
      <c r="D15" s="1">
        <v>0.29832229999999998</v>
      </c>
      <c r="E15" s="1">
        <v>0.70699999999999996</v>
      </c>
      <c r="F15" s="2">
        <v>0.47986000000000001</v>
      </c>
    </row>
    <row r="16" spans="1:7" hidden="1" x14ac:dyDescent="0.15">
      <c r="A16" s="2" t="s">
        <v>39</v>
      </c>
      <c r="B16" s="2">
        <v>-9.4850000000000002E-4</v>
      </c>
      <c r="C16" s="2">
        <v>0.99905200000000005</v>
      </c>
      <c r="D16" s="1">
        <v>7.3348899999999995E-2</v>
      </c>
      <c r="E16" s="1">
        <v>-1.2999999999999999E-2</v>
      </c>
      <c r="F16" s="2">
        <v>0.98968</v>
      </c>
    </row>
    <row r="17" spans="1:7" x14ac:dyDescent="0.15">
      <c r="A17" s="2" t="s">
        <v>40</v>
      </c>
      <c r="B17" s="2">
        <v>0.11327470000000001</v>
      </c>
      <c r="C17" s="2">
        <v>1.1199395000000001</v>
      </c>
      <c r="D17" s="1">
        <v>3.4753399999999997E-2</v>
      </c>
      <c r="E17" s="7">
        <v>3.2589999999999999</v>
      </c>
      <c r="F17" s="2">
        <v>1.1199999999999999E-3</v>
      </c>
      <c r="G17" s="2" t="s">
        <v>111</v>
      </c>
    </row>
    <row r="18" spans="1:7" x14ac:dyDescent="0.15">
      <c r="A18" s="2" t="s">
        <v>41</v>
      </c>
      <c r="B18" s="2">
        <v>6.5853999999999996E-2</v>
      </c>
      <c r="C18" s="2">
        <v>1.0680707</v>
      </c>
      <c r="D18" s="1">
        <v>1.6781399999999998E-2</v>
      </c>
      <c r="E18" s="1">
        <v>3.9239999999999999</v>
      </c>
      <c r="F18" s="3">
        <v>8.7899999999999995E-5</v>
      </c>
      <c r="G18" s="2" t="s">
        <v>103</v>
      </c>
    </row>
    <row r="19" spans="1:7" hidden="1" x14ac:dyDescent="0.15">
      <c r="A19" s="2" t="s">
        <v>42</v>
      </c>
      <c r="B19" s="2">
        <v>0.10332429999999999</v>
      </c>
      <c r="C19" s="2">
        <v>1.108851</v>
      </c>
      <c r="D19" s="1">
        <v>6.6157800000000003E-2</v>
      </c>
      <c r="E19" s="1">
        <v>1.5620000000000001</v>
      </c>
      <c r="F19" s="2">
        <v>0.11838</v>
      </c>
    </row>
    <row r="20" spans="1:7" x14ac:dyDescent="0.15">
      <c r="A20" s="2" t="s">
        <v>43</v>
      </c>
      <c r="B20" s="2">
        <v>8.9219599999999996E-2</v>
      </c>
      <c r="C20" s="2">
        <v>1.0933207</v>
      </c>
      <c r="D20" s="1">
        <v>2.8253199999999999E-2</v>
      </c>
      <c r="E20" s="7">
        <v>3.1579999999999999</v>
      </c>
      <c r="F20" s="2">
        <v>1.6000000000000001E-3</v>
      </c>
      <c r="G20" s="2" t="s">
        <v>111</v>
      </c>
    </row>
    <row r="21" spans="1:7" hidden="1" x14ac:dyDescent="0.15">
      <c r="A21" s="2" t="s">
        <v>44</v>
      </c>
      <c r="B21" s="2">
        <v>-2.37284E-2</v>
      </c>
      <c r="C21" s="2">
        <v>0.9765509</v>
      </c>
      <c r="D21" s="1">
        <v>6.2050300000000003E-2</v>
      </c>
      <c r="E21" s="1">
        <v>-0.38200000000000001</v>
      </c>
      <c r="F21" s="2">
        <v>0.70216999999999996</v>
      </c>
    </row>
    <row r="22" spans="1:7" hidden="1" x14ac:dyDescent="0.15">
      <c r="A22" s="2" t="s">
        <v>45</v>
      </c>
      <c r="B22" s="2">
        <v>3.04444E-2</v>
      </c>
      <c r="C22" s="2">
        <v>1.0309126</v>
      </c>
      <c r="D22" s="1">
        <v>6.94993E-2</v>
      </c>
      <c r="E22" s="1">
        <v>0.438</v>
      </c>
      <c r="F22" s="2">
        <v>0.66135999999999995</v>
      </c>
    </row>
    <row r="23" spans="1:7" x14ac:dyDescent="0.15">
      <c r="A23" s="2" t="s">
        <v>46</v>
      </c>
      <c r="B23" s="2">
        <v>4.2785400000000001E-2</v>
      </c>
      <c r="C23" s="2">
        <v>1.0437139</v>
      </c>
      <c r="D23" s="1">
        <v>1.9564499999999999E-2</v>
      </c>
      <c r="E23" s="7">
        <v>2.1869999999999998</v>
      </c>
      <c r="F23" s="2">
        <v>2.878E-2</v>
      </c>
      <c r="G23" s="2" t="s">
        <v>112</v>
      </c>
    </row>
    <row r="24" spans="1:7" x14ac:dyDescent="0.15">
      <c r="A24" s="2" t="s">
        <v>47</v>
      </c>
      <c r="B24" s="2">
        <v>5.7600600000000002E-2</v>
      </c>
      <c r="C24" s="2">
        <v>1.0592918</v>
      </c>
      <c r="D24" s="1">
        <v>2.3159599999999999E-2</v>
      </c>
      <c r="E24" s="7">
        <v>2.4870000000000001</v>
      </c>
      <c r="F24" s="2">
        <v>1.29E-2</v>
      </c>
      <c r="G24" s="2" t="s">
        <v>112</v>
      </c>
    </row>
    <row r="25" spans="1:7" hidden="1" x14ac:dyDescent="0.15">
      <c r="A25" s="2" t="s">
        <v>48</v>
      </c>
      <c r="B25" s="2">
        <v>-5.0303E-2</v>
      </c>
      <c r="C25" s="2">
        <v>0.95094120000000004</v>
      </c>
      <c r="D25" s="1">
        <v>0.29778759999999999</v>
      </c>
      <c r="E25" s="1">
        <v>-0.16900000000000001</v>
      </c>
      <c r="F25" s="2">
        <v>0.86585999999999996</v>
      </c>
    </row>
    <row r="26" spans="1:7" hidden="1" x14ac:dyDescent="0.15">
      <c r="A26" s="2" t="s">
        <v>49</v>
      </c>
      <c r="B26" s="2">
        <v>7.4535599999999994E-2</v>
      </c>
      <c r="C26" s="2">
        <v>1.0773836999999999</v>
      </c>
      <c r="D26" s="1">
        <v>5.26731E-2</v>
      </c>
      <c r="E26" s="1">
        <v>1.415</v>
      </c>
      <c r="F26" s="2">
        <v>0.15709999999999999</v>
      </c>
    </row>
    <row r="27" spans="1:7" hidden="1" x14ac:dyDescent="0.15">
      <c r="A27" s="2" t="s">
        <v>50</v>
      </c>
      <c r="B27" s="2">
        <v>8.89075E-2</v>
      </c>
      <c r="C27" s="2">
        <v>1.0929796000000001</v>
      </c>
      <c r="D27" s="1">
        <v>7.7882199999999999E-2</v>
      </c>
      <c r="E27" s="1">
        <v>1.1419999999999999</v>
      </c>
      <c r="F27" s="2">
        <v>0.25368000000000002</v>
      </c>
    </row>
    <row r="28" spans="1:7" x14ac:dyDescent="0.15">
      <c r="A28" s="2" t="s">
        <v>51</v>
      </c>
      <c r="B28" s="2">
        <v>0.21276139999999999</v>
      </c>
      <c r="C28" s="2">
        <v>1.2370893999999999</v>
      </c>
      <c r="D28" s="1">
        <v>7.1316400000000002E-2</v>
      </c>
      <c r="E28" s="7">
        <v>2.9830000000000001</v>
      </c>
      <c r="F28" s="2">
        <v>2.8600000000000001E-3</v>
      </c>
      <c r="G28" s="2" t="s">
        <v>111</v>
      </c>
    </row>
    <row r="29" spans="1:7" hidden="1" x14ac:dyDescent="0.15">
      <c r="A29" s="2" t="s">
        <v>52</v>
      </c>
      <c r="B29" s="2">
        <v>3.95258E-2</v>
      </c>
      <c r="C29" s="2">
        <v>1.0403172999999999</v>
      </c>
      <c r="D29" s="1">
        <v>2.4633800000000001E-2</v>
      </c>
      <c r="E29" s="1">
        <v>1.605</v>
      </c>
      <c r="F29" s="2">
        <v>0.10864</v>
      </c>
    </row>
    <row r="30" spans="1:7" x14ac:dyDescent="0.15">
      <c r="A30" s="2" t="s">
        <v>53</v>
      </c>
      <c r="B30" s="2">
        <v>5.7674999999999997E-2</v>
      </c>
      <c r="C30" s="2">
        <v>1.0593707000000001</v>
      </c>
      <c r="D30" s="1">
        <v>2.4027400000000001E-2</v>
      </c>
      <c r="E30" s="7">
        <v>2.4</v>
      </c>
      <c r="F30" s="2">
        <v>1.6400000000000001E-2</v>
      </c>
      <c r="G30" s="2" t="s">
        <v>112</v>
      </c>
    </row>
    <row r="31" spans="1:7" hidden="1" x14ac:dyDescent="0.15">
      <c r="A31" s="2" t="s">
        <v>54</v>
      </c>
      <c r="B31" s="2">
        <v>6.6752500000000006E-2</v>
      </c>
      <c r="C31" s="2">
        <v>1.0690307999999999</v>
      </c>
      <c r="D31" s="1">
        <v>6.6223000000000004E-2</v>
      </c>
      <c r="E31" s="1">
        <v>1.008</v>
      </c>
      <c r="F31" s="2">
        <v>0.31348999999999999</v>
      </c>
    </row>
    <row r="32" spans="1:7" hidden="1" x14ac:dyDescent="0.15">
      <c r="A32" s="2" t="s">
        <v>55</v>
      </c>
      <c r="B32" s="2">
        <v>-1.3932999999999999E-2</v>
      </c>
      <c r="C32" s="2">
        <v>0.98616369999999998</v>
      </c>
      <c r="D32" s="1">
        <v>3.3895300000000003E-2</v>
      </c>
      <c r="E32" s="1">
        <v>-0.41099999999999998</v>
      </c>
      <c r="F32" s="2">
        <v>0.68103999999999998</v>
      </c>
    </row>
    <row r="33" spans="1:7" hidden="1" x14ac:dyDescent="0.15">
      <c r="A33" s="2" t="s">
        <v>56</v>
      </c>
      <c r="B33" s="2">
        <v>1.7015300000000001E-2</v>
      </c>
      <c r="C33" s="2">
        <v>1.0171608999999999</v>
      </c>
      <c r="D33" s="1">
        <v>3.4271799999999998E-2</v>
      </c>
      <c r="E33" s="1">
        <v>0.496</v>
      </c>
      <c r="F33" s="2">
        <v>0.61956999999999995</v>
      </c>
    </row>
    <row r="34" spans="1:7" x14ac:dyDescent="0.15">
      <c r="A34" s="2" t="s">
        <v>57</v>
      </c>
      <c r="B34" s="2">
        <v>0.10743999999999999</v>
      </c>
      <c r="C34" s="2">
        <v>1.1134241</v>
      </c>
      <c r="D34" s="1">
        <v>2.2705199999999998E-2</v>
      </c>
      <c r="E34" s="1">
        <v>4.7320000000000002</v>
      </c>
      <c r="F34" s="3">
        <v>2.2699999999999999E-6</v>
      </c>
      <c r="G34" s="2" t="s">
        <v>103</v>
      </c>
    </row>
    <row r="35" spans="1:7" hidden="1" x14ac:dyDescent="0.15">
      <c r="A35" s="2" t="s">
        <v>58</v>
      </c>
      <c r="B35" s="2">
        <v>3.0706399999999998E-2</v>
      </c>
      <c r="C35" s="2">
        <v>1.0311827</v>
      </c>
      <c r="D35" s="1">
        <v>2.48723E-2</v>
      </c>
      <c r="E35" s="1">
        <v>1.2350000000000001</v>
      </c>
      <c r="F35" s="2">
        <v>0.21704000000000001</v>
      </c>
    </row>
    <row r="36" spans="1:7" hidden="1" x14ac:dyDescent="0.15">
      <c r="A36" s="2" t="s">
        <v>59</v>
      </c>
      <c r="B36" s="2">
        <v>2.4588800000000001E-2</v>
      </c>
      <c r="C36" s="2">
        <v>1.0248936</v>
      </c>
      <c r="D36" s="1">
        <v>7.7901899999999996E-2</v>
      </c>
      <c r="E36" s="1">
        <v>0.316</v>
      </c>
      <c r="F36" s="2">
        <v>0.75229000000000001</v>
      </c>
    </row>
    <row r="37" spans="1:7" x14ac:dyDescent="0.15">
      <c r="A37" s="2" t="s">
        <v>60</v>
      </c>
      <c r="B37" s="2">
        <v>4.5199400000000001E-2</v>
      </c>
      <c r="C37" s="2">
        <v>1.0462364</v>
      </c>
      <c r="D37" s="1">
        <v>2.0993299999999999E-2</v>
      </c>
      <c r="E37" s="7">
        <v>2.153</v>
      </c>
      <c r="F37" s="2">
        <v>3.1350000000000003E-2</v>
      </c>
      <c r="G37" s="2" t="s">
        <v>112</v>
      </c>
    </row>
    <row r="38" spans="1:7" x14ac:dyDescent="0.15">
      <c r="A38" s="2" t="s">
        <v>61</v>
      </c>
      <c r="B38" s="2">
        <v>0.1606639</v>
      </c>
      <c r="C38" s="2">
        <v>1.1742903</v>
      </c>
      <c r="D38" s="1">
        <v>3.4288399999999997E-2</v>
      </c>
      <c r="E38" s="1">
        <v>4.6859999999999999</v>
      </c>
      <c r="F38" s="3">
        <v>2.8399999999999999E-6</v>
      </c>
      <c r="G38" s="2" t="s">
        <v>103</v>
      </c>
    </row>
    <row r="39" spans="1:7" hidden="1" x14ac:dyDescent="0.15">
      <c r="A39" s="2" t="s">
        <v>62</v>
      </c>
      <c r="B39" s="2">
        <v>6.4411200000000002E-2</v>
      </c>
      <c r="C39" s="2">
        <v>1.0665309000000001</v>
      </c>
      <c r="D39" s="1">
        <v>3.4447999999999999E-2</v>
      </c>
      <c r="E39" s="7">
        <v>1.87</v>
      </c>
      <c r="F39" s="2">
        <v>6.1550000000000001E-2</v>
      </c>
    </row>
    <row r="40" spans="1:7" hidden="1" x14ac:dyDescent="0.15">
      <c r="A40" s="2" t="s">
        <v>63</v>
      </c>
      <c r="B40" s="2">
        <v>-1.39366E-2</v>
      </c>
      <c r="C40" s="2">
        <v>0.98616009999999998</v>
      </c>
      <c r="D40" s="1">
        <v>4.8482999999999998E-2</v>
      </c>
      <c r="E40" s="1">
        <v>-0.28699999999999998</v>
      </c>
      <c r="F40" s="2">
        <v>0.77376999999999996</v>
      </c>
    </row>
    <row r="41" spans="1:7" hidden="1" x14ac:dyDescent="0.15">
      <c r="A41" s="2" t="s">
        <v>64</v>
      </c>
      <c r="B41" s="2">
        <v>-0.105419</v>
      </c>
      <c r="C41" s="2">
        <v>0.89994739999999995</v>
      </c>
      <c r="D41" s="1">
        <v>0.1059556</v>
      </c>
      <c r="E41" s="1">
        <v>-0.995</v>
      </c>
      <c r="F41" s="2">
        <v>0.31979999999999997</v>
      </c>
    </row>
    <row r="42" spans="1:7" x14ac:dyDescent="0.15">
      <c r="A42" s="2" t="s">
        <v>65</v>
      </c>
      <c r="B42" s="2">
        <v>7.5668399999999997E-2</v>
      </c>
      <c r="C42" s="2">
        <v>1.0786049</v>
      </c>
      <c r="D42" s="1">
        <v>2.3967200000000001E-2</v>
      </c>
      <c r="E42" s="7">
        <v>3.157</v>
      </c>
      <c r="F42" s="2">
        <v>1.6000000000000001E-3</v>
      </c>
      <c r="G42" s="2" t="s">
        <v>111</v>
      </c>
    </row>
    <row r="43" spans="1:7" hidden="1" x14ac:dyDescent="0.15">
      <c r="A43" s="2" t="s">
        <v>66</v>
      </c>
      <c r="B43" s="2">
        <v>4.9873000000000001E-2</v>
      </c>
      <c r="C43" s="2">
        <v>1.0511375999999999</v>
      </c>
      <c r="D43" s="1">
        <v>8.35843E-2</v>
      </c>
      <c r="E43" s="1">
        <v>0.59699999999999998</v>
      </c>
      <c r="F43" s="2">
        <v>0.55074000000000001</v>
      </c>
    </row>
    <row r="44" spans="1:7" x14ac:dyDescent="0.15">
      <c r="A44" s="2" t="s">
        <v>67</v>
      </c>
      <c r="B44" s="2">
        <v>0.1259557</v>
      </c>
      <c r="C44" s="2">
        <v>1.1342319999999999</v>
      </c>
      <c r="D44" s="1">
        <v>5.8729900000000002E-2</v>
      </c>
      <c r="E44" s="7">
        <v>2.145</v>
      </c>
      <c r="F44" s="2">
        <v>3.2009999999999997E-2</v>
      </c>
      <c r="G44" s="2" t="s">
        <v>112</v>
      </c>
    </row>
    <row r="45" spans="1:7" hidden="1" x14ac:dyDescent="0.15">
      <c r="A45" s="2" t="s">
        <v>68</v>
      </c>
      <c r="B45" s="2">
        <v>9.4643599999999994E-2</v>
      </c>
      <c r="C45" s="2">
        <v>1.099267</v>
      </c>
      <c r="D45" s="1">
        <v>5.2637099999999999E-2</v>
      </c>
      <c r="E45" s="1">
        <v>1.798</v>
      </c>
      <c r="F45" s="2">
        <v>7.2209999999999996E-2</v>
      </c>
    </row>
    <row r="46" spans="1:7" hidden="1" x14ac:dyDescent="0.15">
      <c r="A46" s="2" t="s">
        <v>69</v>
      </c>
      <c r="B46" s="2">
        <v>-2.7679200000000001E-2</v>
      </c>
      <c r="C46" s="2">
        <v>0.97270029999999996</v>
      </c>
      <c r="D46" s="1">
        <v>2.1435800000000001E-2</v>
      </c>
      <c r="E46" s="1">
        <v>-1.2909999999999999</v>
      </c>
      <c r="F46" s="2">
        <v>0.19666</v>
      </c>
    </row>
    <row r="47" spans="1:7" hidden="1" x14ac:dyDescent="0.15">
      <c r="A47" s="2" t="s">
        <v>70</v>
      </c>
      <c r="B47" s="2">
        <v>-4.5310099999999999E-2</v>
      </c>
      <c r="C47" s="2">
        <v>0.95570109999999997</v>
      </c>
      <c r="D47" s="1">
        <v>0.11329939999999999</v>
      </c>
      <c r="E47" s="1">
        <v>-0.4</v>
      </c>
      <c r="F47" s="2">
        <v>0.68923000000000001</v>
      </c>
    </row>
    <row r="48" spans="1:7" hidden="1" x14ac:dyDescent="0.15">
      <c r="A48" s="2" t="s">
        <v>71</v>
      </c>
      <c r="B48" s="2">
        <v>3.7145400000000002E-2</v>
      </c>
      <c r="C48" s="2">
        <v>1.0378438999999999</v>
      </c>
      <c r="D48" s="1">
        <v>4.5749699999999997E-2</v>
      </c>
      <c r="E48" s="1">
        <v>0.81200000000000006</v>
      </c>
      <c r="F48" s="2">
        <v>0.41686000000000001</v>
      </c>
    </row>
    <row r="49" spans="1:7" x14ac:dyDescent="0.15">
      <c r="A49" s="2" t="s">
        <v>72</v>
      </c>
      <c r="B49" s="2">
        <v>6.9738400000000006E-2</v>
      </c>
      <c r="C49" s="2">
        <v>1.0722275999999999</v>
      </c>
      <c r="D49" s="1">
        <v>2.2006000000000001E-2</v>
      </c>
      <c r="E49" s="7">
        <v>3.169</v>
      </c>
      <c r="F49" s="2">
        <v>1.5399999999999999E-3</v>
      </c>
      <c r="G49" s="2" t="s">
        <v>111</v>
      </c>
    </row>
    <row r="50" spans="1:7" hidden="1" x14ac:dyDescent="0.15">
      <c r="A50" s="2" t="s">
        <v>73</v>
      </c>
      <c r="B50" s="2">
        <v>4.1020899999999999E-2</v>
      </c>
      <c r="C50" s="2">
        <v>1.0418738999999999</v>
      </c>
      <c r="D50" s="1">
        <v>4.7181300000000002E-2</v>
      </c>
      <c r="E50" s="1">
        <v>0.86899999999999999</v>
      </c>
      <c r="F50" s="2">
        <v>0.38463999999999998</v>
      </c>
    </row>
    <row r="51" spans="1:7" hidden="1" x14ac:dyDescent="0.15">
      <c r="A51" s="2" t="s">
        <v>74</v>
      </c>
      <c r="B51" s="2">
        <v>0.10083250000000001</v>
      </c>
      <c r="C51" s="2">
        <v>1.1060913999999999</v>
      </c>
      <c r="D51" s="1">
        <v>9.5013299999999995E-2</v>
      </c>
      <c r="E51" s="1">
        <v>1.0609999999999999</v>
      </c>
      <c r="F51" s="2">
        <v>0.28860999999999998</v>
      </c>
    </row>
    <row r="52" spans="1:7" x14ac:dyDescent="0.15">
      <c r="A52" s="2" t="s">
        <v>75</v>
      </c>
      <c r="B52" s="2">
        <v>7.7650800000000006E-2</v>
      </c>
      <c r="C52" s="2">
        <v>1.0807450999999999</v>
      </c>
      <c r="D52" s="1">
        <v>1.8794999999999999E-2</v>
      </c>
      <c r="E52" s="1">
        <v>4.1310000000000002</v>
      </c>
      <c r="F52" s="3">
        <v>3.65E-5</v>
      </c>
      <c r="G52" s="2" t="s">
        <v>103</v>
      </c>
    </row>
    <row r="53" spans="1:7" hidden="1" x14ac:dyDescent="0.15">
      <c r="A53" s="2" t="s">
        <v>76</v>
      </c>
      <c r="B53" s="2">
        <v>-0.18784120000000001</v>
      </c>
      <c r="C53" s="2">
        <v>0.82874630000000005</v>
      </c>
      <c r="D53" s="1">
        <v>0.13376779999999999</v>
      </c>
      <c r="E53" s="1">
        <v>-1.4039999999999999</v>
      </c>
      <c r="F53" s="2">
        <v>0.16028999999999999</v>
      </c>
    </row>
    <row r="54" spans="1:7" hidden="1" x14ac:dyDescent="0.15">
      <c r="A54" s="2" t="s">
        <v>77</v>
      </c>
      <c r="B54" s="2">
        <v>4.3851300000000003E-2</v>
      </c>
      <c r="C54" s="2">
        <v>1.044827</v>
      </c>
      <c r="D54" s="1">
        <v>5.2614599999999997E-2</v>
      </c>
      <c r="E54" s="1">
        <v>0.83299999999999996</v>
      </c>
      <c r="F54" s="2">
        <v>0.40461999999999998</v>
      </c>
    </row>
    <row r="55" spans="1:7" hidden="1" x14ac:dyDescent="0.15">
      <c r="A55" s="2" t="s">
        <v>78</v>
      </c>
      <c r="B55" s="2">
        <v>3.2968799999999999E-2</v>
      </c>
      <c r="C55" s="2">
        <v>1.0335182999999999</v>
      </c>
      <c r="D55" s="1">
        <v>2.94361E-2</v>
      </c>
      <c r="E55" s="1">
        <v>1.1200000000000001</v>
      </c>
      <c r="F55" s="2">
        <v>0.26274999999999998</v>
      </c>
    </row>
    <row r="56" spans="1:7" hidden="1" x14ac:dyDescent="0.15">
      <c r="A56" s="2" t="s">
        <v>79</v>
      </c>
      <c r="B56" s="2">
        <v>-3.3026899999999998E-2</v>
      </c>
      <c r="C56" s="2">
        <v>0.9675125</v>
      </c>
      <c r="D56" s="1">
        <v>0.1132597</v>
      </c>
      <c r="E56" s="1">
        <v>-0.29199999999999998</v>
      </c>
      <c r="F56" s="2">
        <v>0.77059999999999995</v>
      </c>
    </row>
    <row r="57" spans="1:7" hidden="1" x14ac:dyDescent="0.15">
      <c r="A57" s="2" t="s">
        <v>80</v>
      </c>
      <c r="B57" s="2">
        <v>5.1316800000000003E-2</v>
      </c>
      <c r="C57" s="2">
        <v>1.0526563</v>
      </c>
      <c r="D57" s="1">
        <v>3.1836299999999998E-2</v>
      </c>
      <c r="E57" s="1">
        <v>1.6120000000000001</v>
      </c>
      <c r="F57" s="2">
        <v>0.10703</v>
      </c>
    </row>
    <row r="58" spans="1:7" x14ac:dyDescent="0.15">
      <c r="A58" s="2" t="s">
        <v>81</v>
      </c>
      <c r="B58" s="2">
        <v>3.7762299999999999E-2</v>
      </c>
      <c r="C58" s="2">
        <v>1.0384844</v>
      </c>
      <c r="D58" s="1">
        <v>1.69266E-2</v>
      </c>
      <c r="E58" s="7">
        <v>2.2309999999999999</v>
      </c>
      <c r="F58" s="2">
        <v>2.572E-2</v>
      </c>
      <c r="G58" s="2" t="s">
        <v>112</v>
      </c>
    </row>
    <row r="59" spans="1:7" hidden="1" x14ac:dyDescent="0.15">
      <c r="A59" s="2" t="s">
        <v>82</v>
      </c>
      <c r="B59" s="2">
        <v>5.0172999999999997E-3</v>
      </c>
      <c r="C59" s="2">
        <v>1.0050299</v>
      </c>
      <c r="D59" s="1">
        <v>4.9462399999999997E-2</v>
      </c>
      <c r="E59" s="1">
        <v>0.10100000000000001</v>
      </c>
      <c r="F59" s="2">
        <v>0.91920999999999997</v>
      </c>
    </row>
    <row r="60" spans="1:7" hidden="1" x14ac:dyDescent="0.15">
      <c r="A60" s="2" t="s">
        <v>83</v>
      </c>
      <c r="B60" s="2">
        <v>1.6793700000000002E-2</v>
      </c>
      <c r="C60" s="2">
        <v>1.0169355</v>
      </c>
      <c r="D60" s="1">
        <v>2.3733299999999999E-2</v>
      </c>
      <c r="E60" s="1">
        <v>0.70799999999999996</v>
      </c>
      <c r="F60" s="2">
        <v>0.47921999999999998</v>
      </c>
    </row>
    <row r="61" spans="1:7" hidden="1" x14ac:dyDescent="0.15">
      <c r="A61" s="2" t="s">
        <v>84</v>
      </c>
      <c r="B61" s="2">
        <v>0.2399667</v>
      </c>
      <c r="C61" s="2">
        <v>1.2712068000000001</v>
      </c>
      <c r="D61" s="1">
        <v>0.29766429999999999</v>
      </c>
      <c r="E61" s="1">
        <v>0.80600000000000005</v>
      </c>
      <c r="F61" s="2">
        <v>0.42018</v>
      </c>
    </row>
    <row r="62" spans="1:7" x14ac:dyDescent="0.15">
      <c r="A62" s="2" t="s">
        <v>85</v>
      </c>
      <c r="B62" s="2">
        <v>1.0360303</v>
      </c>
      <c r="C62" s="2">
        <v>2.8180081000000001</v>
      </c>
      <c r="D62" s="1">
        <v>0.1723548</v>
      </c>
      <c r="E62" s="1">
        <v>6.0110000000000001</v>
      </c>
      <c r="F62" s="3">
        <v>1.9399999999999999E-9</v>
      </c>
      <c r="G62" s="2" t="s">
        <v>103</v>
      </c>
    </row>
    <row r="63" spans="1:7" hidden="1" x14ac:dyDescent="0.15">
      <c r="A63" s="2" t="s">
        <v>86</v>
      </c>
      <c r="B63" s="2">
        <v>5.7603999999999997E-3</v>
      </c>
      <c r="C63" s="2">
        <v>1.0057769999999999</v>
      </c>
      <c r="D63" s="1">
        <v>3.4943299999999997E-2</v>
      </c>
      <c r="E63" s="1">
        <v>0.16500000000000001</v>
      </c>
      <c r="F63" s="2">
        <v>0.86907000000000001</v>
      </c>
    </row>
    <row r="64" spans="1:7" x14ac:dyDescent="0.15">
      <c r="A64" s="2" t="s">
        <v>87</v>
      </c>
      <c r="B64" s="2">
        <v>0.116743</v>
      </c>
      <c r="C64" s="2">
        <v>1.1238305</v>
      </c>
      <c r="D64" s="1">
        <v>4.22318E-2</v>
      </c>
      <c r="E64" s="7">
        <v>2.7639999999999998</v>
      </c>
      <c r="F64" s="2">
        <v>5.7200000000000003E-3</v>
      </c>
      <c r="G64" s="2" t="s">
        <v>111</v>
      </c>
    </row>
    <row r="65" spans="1:7" hidden="1" x14ac:dyDescent="0.15">
      <c r="A65" s="2" t="s">
        <v>88</v>
      </c>
      <c r="B65" s="2">
        <v>3.5002100000000001E-2</v>
      </c>
      <c r="C65" s="2">
        <v>1.0356219</v>
      </c>
      <c r="D65" s="1">
        <v>4.6202899999999998E-2</v>
      </c>
      <c r="E65" s="1">
        <v>0.75800000000000001</v>
      </c>
      <c r="F65" s="2">
        <v>0.44873000000000002</v>
      </c>
    </row>
    <row r="66" spans="1:7" hidden="1" x14ac:dyDescent="0.15">
      <c r="A66" s="2" t="s">
        <v>89</v>
      </c>
      <c r="B66" s="2">
        <v>0.3361827</v>
      </c>
      <c r="C66" s="2">
        <v>1.3995948</v>
      </c>
      <c r="D66" s="1">
        <v>0.29785339999999999</v>
      </c>
      <c r="E66" s="1">
        <v>1.129</v>
      </c>
      <c r="F66" s="2">
        <v>0.25907000000000002</v>
      </c>
    </row>
    <row r="67" spans="1:7" x14ac:dyDescent="0.15">
      <c r="A67" s="2" t="s">
        <v>94</v>
      </c>
      <c r="B67" s="2">
        <v>3.4645315999999999</v>
      </c>
      <c r="C67" s="2">
        <v>31.961484899999999</v>
      </c>
      <c r="D67" s="1">
        <v>1.3194000000000001E-2</v>
      </c>
      <c r="E67" s="1">
        <v>262.584</v>
      </c>
      <c r="F67" s="2" t="s">
        <v>102</v>
      </c>
      <c r="G67" s="2" t="s">
        <v>103</v>
      </c>
    </row>
    <row r="68" spans="1:7" x14ac:dyDescent="0.15">
      <c r="A68" s="2" t="s">
        <v>109</v>
      </c>
      <c r="B68" s="2">
        <v>-0.3062549</v>
      </c>
      <c r="C68" s="2">
        <v>0.73619889999999999</v>
      </c>
      <c r="D68" s="1">
        <v>1.07685E-2</v>
      </c>
      <c r="E68" s="1">
        <v>-28.44</v>
      </c>
      <c r="F68" s="2" t="s">
        <v>102</v>
      </c>
      <c r="G68" s="2" t="s">
        <v>103</v>
      </c>
    </row>
    <row r="69" spans="1:7" x14ac:dyDescent="0.15">
      <c r="A69" s="2" t="s">
        <v>95</v>
      </c>
      <c r="B69" s="2">
        <v>0.35645779999999999</v>
      </c>
      <c r="C69" s="2">
        <v>1.4282611999999999</v>
      </c>
      <c r="D69" s="1">
        <v>5.8371300000000001E-2</v>
      </c>
      <c r="E69" s="1">
        <v>6.1070000000000002</v>
      </c>
      <c r="F69" s="3">
        <v>1.07E-9</v>
      </c>
      <c r="G69" s="2" t="s">
        <v>103</v>
      </c>
    </row>
  </sheetData>
  <autoFilter ref="A1:G69" xr:uid="{2434E287-2BD6-CC4B-A527-9570EBAD7AAB}">
    <filterColumn colId="6">
      <customFilters>
        <customFilter operator="notEqual" val=" "/>
      </customFilters>
    </filterColumn>
  </autoFilter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BACD5-321F-EA47-BF85-9FE97E065164}">
  <sheetPr filterMode="1"/>
  <dimension ref="A1:G67"/>
  <sheetViews>
    <sheetView workbookViewId="0">
      <selection activeCell="C68" sqref="C68"/>
    </sheetView>
  </sheetViews>
  <sheetFormatPr baseColWidth="10" defaultRowHeight="14" x14ac:dyDescent="0.15"/>
  <cols>
    <col min="1" max="1" width="40" style="2" customWidth="1"/>
    <col min="2" max="2" width="11" style="2" bestFit="1" customWidth="1"/>
    <col min="3" max="3" width="14.5" style="2" customWidth="1"/>
    <col min="4" max="5" width="11" style="2" bestFit="1" customWidth="1"/>
    <col min="6" max="6" width="11.33203125" style="2" bestFit="1" customWidth="1"/>
    <col min="7" max="7" width="16.33203125" style="2" customWidth="1"/>
    <col min="8" max="16384" width="10.83203125" style="2"/>
  </cols>
  <sheetData>
    <row r="1" spans="1:7" s="2" customFormat="1" x14ac:dyDescent="0.15">
      <c r="A1" s="9" t="s">
        <v>1</v>
      </c>
      <c r="B1" s="9" t="s">
        <v>106</v>
      </c>
      <c r="C1" s="9" t="s">
        <v>113</v>
      </c>
      <c r="D1" s="9" t="s">
        <v>2</v>
      </c>
      <c r="E1" s="9" t="s">
        <v>115</v>
      </c>
      <c r="F1" s="9" t="s">
        <v>99</v>
      </c>
      <c r="G1" s="9" t="s">
        <v>114</v>
      </c>
    </row>
    <row r="2" spans="1:7" s="4" customFormat="1" ht="16" hidden="1" x14ac:dyDescent="0.15">
      <c r="A2" s="4" t="s">
        <v>107</v>
      </c>
      <c r="B2" s="4">
        <v>1.0925678999999999</v>
      </c>
      <c r="C2" s="4">
        <v>2.9819214000000001</v>
      </c>
      <c r="D2" s="4">
        <v>3.3061300000000002E-2</v>
      </c>
      <c r="E2" s="4">
        <v>33.046999999999997</v>
      </c>
      <c r="F2" s="4" t="s">
        <v>102</v>
      </c>
      <c r="G2" s="4" t="s">
        <v>103</v>
      </c>
    </row>
    <row r="3" spans="1:7" s="4" customFormat="1" ht="16" hidden="1" x14ac:dyDescent="0.15">
      <c r="A3" s="4" t="s">
        <v>108</v>
      </c>
      <c r="B3" s="4">
        <v>1.008E-4</v>
      </c>
      <c r="C3" s="4">
        <v>1.0001008</v>
      </c>
      <c r="D3" s="4">
        <v>3.3490000000000001E-4</v>
      </c>
      <c r="E3" s="4">
        <v>0.30099999999999999</v>
      </c>
      <c r="F3" s="4">
        <v>0.76344000000000001</v>
      </c>
    </row>
    <row r="4" spans="1:7" s="4" customFormat="1" ht="16" hidden="1" x14ac:dyDescent="0.15">
      <c r="A4" s="4" t="s">
        <v>18</v>
      </c>
      <c r="B4" s="4">
        <v>0.26756760000000002</v>
      </c>
      <c r="C4" s="4">
        <v>1.3067820000000001</v>
      </c>
      <c r="D4" s="4">
        <v>3.8789700000000003E-2</v>
      </c>
      <c r="E4" s="4">
        <v>6.8979999999999997</v>
      </c>
      <c r="F4" s="5">
        <v>6.6000000000000001E-12</v>
      </c>
      <c r="G4" s="4" t="s">
        <v>103</v>
      </c>
    </row>
    <row r="5" spans="1:7" s="2" customFormat="1" x14ac:dyDescent="0.15">
      <c r="A5" s="2" t="s">
        <v>19</v>
      </c>
      <c r="B5" s="2">
        <v>-9.4360399999999997E-2</v>
      </c>
      <c r="C5" s="2">
        <v>0.90995470000000001</v>
      </c>
      <c r="D5" s="2">
        <v>3.6661699999999998E-2</v>
      </c>
      <c r="E5" s="6">
        <v>-2.5739999999999998</v>
      </c>
      <c r="F5" s="2">
        <v>1.0113E-2</v>
      </c>
      <c r="G5" s="2" t="s">
        <v>112</v>
      </c>
    </row>
    <row r="6" spans="1:7" s="4" customFormat="1" ht="16" hidden="1" x14ac:dyDescent="0.15">
      <c r="A6" s="4" t="s">
        <v>20</v>
      </c>
      <c r="B6" s="4">
        <v>0.1297973</v>
      </c>
      <c r="C6" s="4">
        <v>1.1385976</v>
      </c>
      <c r="D6" s="4">
        <v>2.54161E-2</v>
      </c>
      <c r="E6" s="4">
        <v>5.1070000000000002</v>
      </c>
      <c r="F6" s="5">
        <v>3.5100000000000001E-7</v>
      </c>
      <c r="G6" s="4" t="s">
        <v>103</v>
      </c>
    </row>
    <row r="7" spans="1:7" s="4" customFormat="1" ht="16" hidden="1" x14ac:dyDescent="0.15">
      <c r="A7" s="4" t="s">
        <v>21</v>
      </c>
      <c r="B7" s="4">
        <v>9.5537E-3</v>
      </c>
      <c r="C7" s="4">
        <v>1.0095995</v>
      </c>
      <c r="D7" s="4">
        <v>2.2875099999999999E-2</v>
      </c>
      <c r="E7" s="4">
        <v>0.41799999999999998</v>
      </c>
      <c r="F7" s="4">
        <v>0.67623999999999995</v>
      </c>
    </row>
    <row r="8" spans="1:7" s="4" customFormat="1" ht="16" hidden="1" x14ac:dyDescent="0.15">
      <c r="A8" s="4" t="s">
        <v>23</v>
      </c>
      <c r="B8" s="4">
        <v>2.7321600000000001E-2</v>
      </c>
      <c r="C8" s="4">
        <v>1.0276983</v>
      </c>
      <c r="D8" s="4">
        <v>2.9132600000000002E-2</v>
      </c>
      <c r="E8" s="4">
        <v>0.93799999999999994</v>
      </c>
    </row>
    <row r="9" spans="1:7" s="4" customFormat="1" ht="16" hidden="1" x14ac:dyDescent="0.15">
      <c r="A9" s="4" t="s">
        <v>24</v>
      </c>
      <c r="B9" s="4">
        <v>4.8902500000000002E-2</v>
      </c>
      <c r="C9" s="4">
        <v>1.0501179</v>
      </c>
      <c r="D9" s="4">
        <v>4.41374E-2</v>
      </c>
      <c r="E9" s="4">
        <v>1.1080000000000001</v>
      </c>
      <c r="F9" s="4">
        <v>0.26798100000000002</v>
      </c>
    </row>
    <row r="10" spans="1:7" s="4" customFormat="1" ht="16" hidden="1" x14ac:dyDescent="0.15">
      <c r="A10" s="4" t="s">
        <v>27</v>
      </c>
      <c r="B10" s="4">
        <v>0.18906229999999999</v>
      </c>
      <c r="C10" s="4">
        <v>1.2081162000000001</v>
      </c>
      <c r="D10" s="4">
        <v>4.8770500000000001E-2</v>
      </c>
      <c r="E10" s="4">
        <v>3.8769999999999998</v>
      </c>
      <c r="F10" s="4">
        <v>1.0900000000000001E-4</v>
      </c>
      <c r="G10" s="4" t="s">
        <v>103</v>
      </c>
    </row>
    <row r="11" spans="1:7" s="2" customFormat="1" x14ac:dyDescent="0.15">
      <c r="A11" s="2" t="s">
        <v>29</v>
      </c>
      <c r="B11" s="2">
        <v>-7.1193199999999998E-2</v>
      </c>
      <c r="C11" s="2">
        <v>0.9312819</v>
      </c>
      <c r="D11" s="2">
        <v>3.16875E-2</v>
      </c>
      <c r="E11" s="6">
        <v>-2.2469999999999999</v>
      </c>
      <c r="F11" s="2">
        <v>2.4740999999999999E-2</v>
      </c>
      <c r="G11" s="2" t="s">
        <v>112</v>
      </c>
    </row>
    <row r="12" spans="1:7" s="2" customFormat="1" x14ac:dyDescent="0.15">
      <c r="A12" s="2" t="s">
        <v>30</v>
      </c>
      <c r="B12" s="2">
        <v>5.7412199999999997E-2</v>
      </c>
      <c r="C12" s="2">
        <v>1.0590922</v>
      </c>
      <c r="D12" s="2">
        <v>2.2355099999999999E-2</v>
      </c>
      <c r="E12" s="6">
        <v>2.5680000000000001</v>
      </c>
      <c r="F12" s="2">
        <v>1.0278000000000001E-2</v>
      </c>
      <c r="G12" s="2" t="s">
        <v>112</v>
      </c>
    </row>
    <row r="13" spans="1:7" s="2" customFormat="1" x14ac:dyDescent="0.15">
      <c r="A13" s="2" t="s">
        <v>31</v>
      </c>
      <c r="B13" s="2">
        <v>8.5507200000000005E-2</v>
      </c>
      <c r="C13" s="2">
        <v>1.0892694000000001</v>
      </c>
      <c r="D13" s="2">
        <v>3.7608000000000003E-2</v>
      </c>
      <c r="E13" s="6">
        <v>2.274</v>
      </c>
      <c r="F13" s="2">
        <v>2.3068999999999999E-2</v>
      </c>
      <c r="G13" s="2" t="s">
        <v>112</v>
      </c>
    </row>
    <row r="14" spans="1:7" s="4" customFormat="1" ht="16" hidden="1" x14ac:dyDescent="0.15">
      <c r="A14" s="4" t="s">
        <v>32</v>
      </c>
      <c r="B14" s="4">
        <v>2.6127999999999998E-2</v>
      </c>
      <c r="C14" s="4">
        <v>1.0264723</v>
      </c>
      <c r="D14" s="4">
        <v>3.9688800000000003E-2</v>
      </c>
      <c r="E14" s="4">
        <v>0.65800000000000003</v>
      </c>
      <c r="F14" s="4">
        <v>0.51039000000000001</v>
      </c>
    </row>
    <row r="15" spans="1:7" s="4" customFormat="1" ht="16" hidden="1" x14ac:dyDescent="0.15">
      <c r="A15" s="4" t="s">
        <v>34</v>
      </c>
      <c r="B15" s="4">
        <v>-0.33484229999999998</v>
      </c>
      <c r="C15" s="4">
        <v>0.7154509</v>
      </c>
      <c r="D15" s="4">
        <v>4.07502E-2</v>
      </c>
      <c r="E15" s="4">
        <v>-8.2170000000000005</v>
      </c>
      <c r="F15" s="5">
        <v>3.2500000000000001E-16</v>
      </c>
      <c r="G15" s="4" t="s">
        <v>103</v>
      </c>
    </row>
    <row r="16" spans="1:7" s="2" customFormat="1" x14ac:dyDescent="0.15">
      <c r="A16" s="2" t="s">
        <v>37</v>
      </c>
      <c r="B16" s="2">
        <v>-0.15701660000000001</v>
      </c>
      <c r="C16" s="2">
        <v>0.8546899</v>
      </c>
      <c r="D16" s="2">
        <v>7.4454099999999995E-2</v>
      </c>
      <c r="E16" s="6">
        <v>-2.109</v>
      </c>
      <c r="F16" s="2">
        <v>3.5048000000000003E-2</v>
      </c>
      <c r="G16" s="2" t="s">
        <v>112</v>
      </c>
    </row>
    <row r="17" spans="1:7" s="4" customFormat="1" ht="16" hidden="1" x14ac:dyDescent="0.15">
      <c r="A17" s="4" t="s">
        <v>39</v>
      </c>
      <c r="B17" s="4">
        <v>-2.2351099999999999E-2</v>
      </c>
      <c r="C17" s="4">
        <v>0.97789689999999996</v>
      </c>
      <c r="D17" s="4">
        <v>9.3451199999999998E-2</v>
      </c>
      <c r="E17" s="4">
        <v>-0.23899999999999999</v>
      </c>
      <c r="F17" s="4">
        <v>0.81098999999999999</v>
      </c>
    </row>
    <row r="18" spans="1:7" s="4" customFormat="1" ht="16" hidden="1" x14ac:dyDescent="0.15">
      <c r="A18" s="4" t="s">
        <v>40</v>
      </c>
      <c r="B18" s="4">
        <v>-2.38972E-2</v>
      </c>
      <c r="C18" s="4">
        <v>0.97638610000000003</v>
      </c>
      <c r="D18" s="4">
        <v>5.3237E-2</v>
      </c>
      <c r="E18" s="4">
        <v>-0.44900000000000001</v>
      </c>
      <c r="F18" s="4">
        <v>0.65355300000000005</v>
      </c>
    </row>
    <row r="19" spans="1:7" s="4" customFormat="1" ht="16" hidden="1" x14ac:dyDescent="0.15">
      <c r="A19" s="4" t="s">
        <v>41</v>
      </c>
      <c r="B19" s="4">
        <v>3.56724E-2</v>
      </c>
      <c r="C19" s="4">
        <v>1.0363163</v>
      </c>
      <c r="D19" s="4">
        <v>3.0109199999999999E-2</v>
      </c>
      <c r="E19" s="4">
        <v>1.1850000000000001</v>
      </c>
      <c r="F19" s="4">
        <v>0.23621700000000001</v>
      </c>
    </row>
    <row r="20" spans="1:7" s="4" customFormat="1" ht="16" hidden="1" x14ac:dyDescent="0.15">
      <c r="A20" s="4" t="s">
        <v>42</v>
      </c>
      <c r="B20" s="4">
        <v>1.8216099999999999E-2</v>
      </c>
      <c r="C20" s="4">
        <v>1.0183831000000001</v>
      </c>
      <c r="D20" s="4">
        <v>0.12923870000000001</v>
      </c>
      <c r="E20" s="4">
        <v>0.14099999999999999</v>
      </c>
      <c r="F20" s="4">
        <v>0.88792099999999996</v>
      </c>
    </row>
    <row r="21" spans="1:7" s="4" customFormat="1" ht="16" hidden="1" x14ac:dyDescent="0.15">
      <c r="A21" s="4" t="s">
        <v>43</v>
      </c>
      <c r="B21" s="4">
        <v>-8.4463999999999997E-3</v>
      </c>
      <c r="C21" s="4">
        <v>0.9915891</v>
      </c>
      <c r="D21" s="4">
        <v>5.4510099999999999E-2</v>
      </c>
      <c r="E21" s="4">
        <v>-0.155</v>
      </c>
      <c r="F21" s="4">
        <v>0.87687099999999996</v>
      </c>
    </row>
    <row r="22" spans="1:7" s="4" customFormat="1" ht="16" hidden="1" x14ac:dyDescent="0.15">
      <c r="A22" s="4" t="s">
        <v>44</v>
      </c>
      <c r="B22" s="4">
        <v>-0.20833209999999999</v>
      </c>
      <c r="C22" s="4">
        <v>0.81193740000000003</v>
      </c>
      <c r="D22" s="4">
        <v>0.1698288</v>
      </c>
      <c r="E22" s="4">
        <v>-1.2270000000000001</v>
      </c>
      <c r="F22" s="4">
        <v>0.22003900000000001</v>
      </c>
    </row>
    <row r="23" spans="1:7" s="4" customFormat="1" ht="16" hidden="1" x14ac:dyDescent="0.15">
      <c r="A23" s="4" t="s">
        <v>45</v>
      </c>
      <c r="B23" s="4">
        <v>-6.3807799999999998E-2</v>
      </c>
      <c r="C23" s="4">
        <v>0.9381853</v>
      </c>
      <c r="D23" s="4">
        <v>0.12976579999999999</v>
      </c>
      <c r="E23" s="4">
        <v>-0.49199999999999999</v>
      </c>
      <c r="F23" s="4">
        <v>0.62296200000000002</v>
      </c>
    </row>
    <row r="24" spans="1:7" s="2" customFormat="1" x14ac:dyDescent="0.15">
      <c r="A24" s="2" t="s">
        <v>46</v>
      </c>
      <c r="B24" s="2">
        <v>-7.9707399999999998E-2</v>
      </c>
      <c r="C24" s="2">
        <v>0.9233865</v>
      </c>
      <c r="D24" s="2">
        <v>3.6792199999999997E-2</v>
      </c>
      <c r="E24" s="6">
        <v>-2.1659999999999999</v>
      </c>
      <c r="F24" s="2">
        <v>3.0369E-2</v>
      </c>
      <c r="G24" s="2" t="s">
        <v>112</v>
      </c>
    </row>
    <row r="25" spans="1:7" s="4" customFormat="1" ht="16" hidden="1" x14ac:dyDescent="0.15">
      <c r="A25" s="4" t="s">
        <v>47</v>
      </c>
      <c r="B25" s="4">
        <v>-7.0947200000000002E-2</v>
      </c>
      <c r="C25" s="4">
        <v>0.93151099999999998</v>
      </c>
      <c r="D25" s="4">
        <v>4.3359700000000001E-2</v>
      </c>
      <c r="E25" s="4">
        <v>-1.6359999999999999</v>
      </c>
      <c r="F25" s="4">
        <v>0.101908</v>
      </c>
    </row>
    <row r="26" spans="1:7" s="4" customFormat="1" ht="16" hidden="1" x14ac:dyDescent="0.15">
      <c r="A26" s="4" t="s">
        <v>49</v>
      </c>
      <c r="B26" s="4">
        <v>1.45998E-2</v>
      </c>
      <c r="C26" s="4">
        <v>1.0147069</v>
      </c>
      <c r="D26" s="4">
        <v>9.3563999999999994E-2</v>
      </c>
      <c r="E26" s="4">
        <v>0.156</v>
      </c>
      <c r="F26" s="4">
        <v>0.87601300000000004</v>
      </c>
    </row>
    <row r="27" spans="1:7" s="4" customFormat="1" ht="16" hidden="1" x14ac:dyDescent="0.15">
      <c r="A27" s="4" t="s">
        <v>50</v>
      </c>
      <c r="B27" s="4">
        <v>-0.117282</v>
      </c>
      <c r="C27" s="4">
        <v>0.88933430000000002</v>
      </c>
      <c r="D27" s="4">
        <v>9.3357899999999994E-2</v>
      </c>
      <c r="E27" s="4">
        <v>-1.256</v>
      </c>
      <c r="F27" s="4">
        <v>0.20913300000000001</v>
      </c>
    </row>
    <row r="28" spans="1:7" s="4" customFormat="1" ht="16" hidden="1" x14ac:dyDescent="0.15">
      <c r="A28" s="4" t="s">
        <v>51</v>
      </c>
      <c r="B28" s="4">
        <v>-3.6104499999999998E-2</v>
      </c>
      <c r="C28" s="4">
        <v>0.96453940000000005</v>
      </c>
      <c r="D28" s="4">
        <v>0.1045893</v>
      </c>
      <c r="E28" s="4">
        <v>-0.34499999999999997</v>
      </c>
      <c r="F28" s="4">
        <v>0.72997000000000001</v>
      </c>
    </row>
    <row r="29" spans="1:7" s="4" customFormat="1" ht="16" hidden="1" x14ac:dyDescent="0.15">
      <c r="A29" s="4" t="s">
        <v>52</v>
      </c>
      <c r="B29" s="4">
        <v>-4.99297E-2</v>
      </c>
      <c r="C29" s="4">
        <v>0.95129629999999998</v>
      </c>
      <c r="D29" s="4">
        <v>4.6531900000000001E-2</v>
      </c>
      <c r="E29" s="4">
        <v>-1.073</v>
      </c>
      <c r="F29" s="4">
        <v>0.28336</v>
      </c>
    </row>
    <row r="30" spans="1:7" s="4" customFormat="1" ht="16" hidden="1" x14ac:dyDescent="0.15">
      <c r="A30" s="4" t="s">
        <v>53</v>
      </c>
      <c r="B30" s="4">
        <v>4.8111999999999999E-3</v>
      </c>
      <c r="C30" s="4">
        <v>1.0048227999999999</v>
      </c>
      <c r="D30" s="4">
        <v>3.9579700000000002E-2</v>
      </c>
      <c r="E30" s="4">
        <v>0.122</v>
      </c>
      <c r="F30" s="4">
        <v>0.90325999999999995</v>
      </c>
    </row>
    <row r="31" spans="1:7" s="4" customFormat="1" ht="16" hidden="1" x14ac:dyDescent="0.15">
      <c r="A31" s="4" t="s">
        <v>54</v>
      </c>
      <c r="B31" s="4">
        <v>-8.7955500000000006E-2</v>
      </c>
      <c r="C31" s="4">
        <v>0.91580159999999999</v>
      </c>
      <c r="D31" s="4">
        <v>7.9234200000000005E-2</v>
      </c>
      <c r="E31" s="4">
        <v>-1.1100000000000001</v>
      </c>
      <c r="F31" s="4">
        <v>0.26707199999999998</v>
      </c>
    </row>
    <row r="32" spans="1:7" s="4" customFormat="1" ht="16" hidden="1" x14ac:dyDescent="0.15">
      <c r="A32" s="4" t="s">
        <v>55</v>
      </c>
      <c r="B32" s="4">
        <v>-8.7826699999999994E-2</v>
      </c>
      <c r="C32" s="4">
        <v>0.91591959999999994</v>
      </c>
      <c r="D32" s="4">
        <v>7.1633299999999997E-2</v>
      </c>
      <c r="E32" s="4">
        <v>-1.226</v>
      </c>
      <c r="F32" s="4">
        <v>0.22028700000000001</v>
      </c>
    </row>
    <row r="33" spans="1:7" s="4" customFormat="1" ht="16" hidden="1" x14ac:dyDescent="0.15">
      <c r="A33" s="4" t="s">
        <v>56</v>
      </c>
      <c r="B33" s="4">
        <v>-2.5040699999999999E-2</v>
      </c>
      <c r="C33" s="4">
        <v>0.97527019999999998</v>
      </c>
      <c r="D33" s="4">
        <v>8.5176699999999994E-2</v>
      </c>
      <c r="E33" s="4">
        <v>-0.29399999999999998</v>
      </c>
      <c r="F33" s="4">
        <v>0.76879200000000003</v>
      </c>
    </row>
    <row r="34" spans="1:7" s="4" customFormat="1" ht="16" hidden="1" x14ac:dyDescent="0.15">
      <c r="A34" s="4" t="s">
        <v>57</v>
      </c>
      <c r="B34" s="4">
        <v>-2.9467E-3</v>
      </c>
      <c r="C34" s="4">
        <v>0.99705770000000005</v>
      </c>
      <c r="D34" s="4">
        <v>4.16406E-2</v>
      </c>
      <c r="E34" s="4">
        <v>-7.0999999999999994E-2</v>
      </c>
      <c r="F34" s="4">
        <v>0.94359099999999996</v>
      </c>
    </row>
    <row r="35" spans="1:7" s="4" customFormat="1" ht="16" hidden="1" x14ac:dyDescent="0.15">
      <c r="A35" s="4" t="s">
        <v>58</v>
      </c>
      <c r="B35" s="4">
        <v>-5.8612999999999998E-2</v>
      </c>
      <c r="C35" s="4">
        <v>0.94307160000000001</v>
      </c>
      <c r="D35" s="4">
        <v>5.12723E-2</v>
      </c>
      <c r="E35" s="4">
        <v>-1.143</v>
      </c>
      <c r="F35" s="4">
        <v>0.25307200000000002</v>
      </c>
    </row>
    <row r="36" spans="1:7" s="4" customFormat="1" ht="16" hidden="1" x14ac:dyDescent="0.15">
      <c r="A36" s="4" t="s">
        <v>59</v>
      </c>
      <c r="B36" s="4">
        <v>2.88191E-2</v>
      </c>
      <c r="C36" s="4">
        <v>1.0292384000000001</v>
      </c>
      <c r="D36" s="4">
        <v>0.10911</v>
      </c>
      <c r="E36" s="4">
        <v>0.26400000000000001</v>
      </c>
      <c r="F36" s="4">
        <v>0.79170200000000002</v>
      </c>
    </row>
    <row r="37" spans="1:7" s="4" customFormat="1" ht="16" hidden="1" x14ac:dyDescent="0.15">
      <c r="A37" s="4" t="s">
        <v>60</v>
      </c>
      <c r="B37" s="4">
        <v>-4.7789600000000002E-2</v>
      </c>
      <c r="C37" s="4">
        <v>0.95333429999999997</v>
      </c>
      <c r="D37" s="4">
        <v>3.7142599999999998E-2</v>
      </c>
      <c r="E37" s="4">
        <v>-1.2869999999999999</v>
      </c>
      <c r="F37" s="4">
        <v>0.19832900000000001</v>
      </c>
    </row>
    <row r="38" spans="1:7" s="4" customFormat="1" ht="16" hidden="1" x14ac:dyDescent="0.15">
      <c r="A38" s="4" t="s">
        <v>61</v>
      </c>
      <c r="B38" s="4">
        <v>1.0397200000000001E-2</v>
      </c>
      <c r="C38" s="4">
        <v>1.0104514</v>
      </c>
      <c r="D38" s="4">
        <v>5.8173000000000002E-2</v>
      </c>
      <c r="E38" s="4">
        <v>0.17899999999999999</v>
      </c>
      <c r="F38" s="4">
        <v>0.85816400000000004</v>
      </c>
    </row>
    <row r="39" spans="1:7" s="4" customFormat="1" ht="16" hidden="1" x14ac:dyDescent="0.15">
      <c r="A39" s="4" t="s">
        <v>62</v>
      </c>
      <c r="B39" s="4">
        <v>-7.4287300000000001E-2</v>
      </c>
      <c r="C39" s="4">
        <v>0.92840489999999998</v>
      </c>
      <c r="D39" s="4">
        <v>5.7652299999999997E-2</v>
      </c>
      <c r="E39" s="4">
        <v>-1.2889999999999999</v>
      </c>
      <c r="F39" s="4">
        <v>0.19767199999999999</v>
      </c>
    </row>
    <row r="40" spans="1:7" s="2" customFormat="1" x14ac:dyDescent="0.15">
      <c r="A40" s="11" t="s">
        <v>63</v>
      </c>
      <c r="B40" s="2">
        <v>-0.32190010000000002</v>
      </c>
      <c r="C40" s="2">
        <v>0.72477060000000004</v>
      </c>
      <c r="D40" s="2">
        <v>0.15229039999999999</v>
      </c>
      <c r="E40" s="6">
        <v>-2.1139999999999999</v>
      </c>
      <c r="F40" s="2">
        <v>3.4633999999999998E-2</v>
      </c>
      <c r="G40" s="2" t="s">
        <v>112</v>
      </c>
    </row>
    <row r="41" spans="1:7" s="4" customFormat="1" ht="16" hidden="1" x14ac:dyDescent="0.15">
      <c r="A41" s="4" t="s">
        <v>64</v>
      </c>
      <c r="B41" s="4">
        <v>-5.5620900000000001E-2</v>
      </c>
      <c r="C41" s="4">
        <v>0.94589760000000001</v>
      </c>
      <c r="D41" s="4">
        <v>0.13924210000000001</v>
      </c>
      <c r="E41" s="4">
        <v>-0.39900000000000002</v>
      </c>
      <c r="F41" s="4">
        <v>0.68959099999999995</v>
      </c>
    </row>
    <row r="42" spans="1:7" s="4" customFormat="1" ht="16" hidden="1" x14ac:dyDescent="0.15">
      <c r="A42" s="4" t="s">
        <v>65</v>
      </c>
      <c r="B42" s="4">
        <v>1.6855999999999999E-2</v>
      </c>
      <c r="C42" s="4">
        <v>1.0169988999999999</v>
      </c>
      <c r="D42" s="4">
        <v>4.3326000000000003E-2</v>
      </c>
      <c r="E42" s="4">
        <v>0.38900000000000001</v>
      </c>
      <c r="F42" s="4">
        <v>0.69727099999999997</v>
      </c>
    </row>
    <row r="43" spans="1:7" s="2" customFormat="1" x14ac:dyDescent="0.15">
      <c r="A43" s="11" t="s">
        <v>66</v>
      </c>
      <c r="B43" s="2">
        <v>-0.25245050000000002</v>
      </c>
      <c r="C43" s="2">
        <v>0.77689470000000005</v>
      </c>
      <c r="D43" s="2">
        <v>0.1212743</v>
      </c>
      <c r="E43" s="6">
        <v>-2.0819999999999999</v>
      </c>
      <c r="F43" s="2">
        <v>3.7471999999999998E-2</v>
      </c>
      <c r="G43" s="2" t="s">
        <v>112</v>
      </c>
    </row>
    <row r="44" spans="1:7" s="4" customFormat="1" ht="16" hidden="1" x14ac:dyDescent="0.15">
      <c r="A44" s="4" t="s">
        <v>67</v>
      </c>
      <c r="B44" s="4">
        <v>-7.4097800000000005E-2</v>
      </c>
      <c r="C44" s="4">
        <v>0.92858090000000004</v>
      </c>
      <c r="D44" s="4">
        <v>0.1002233</v>
      </c>
      <c r="E44" s="4">
        <v>-0.73899999999999999</v>
      </c>
      <c r="F44" s="4">
        <v>0.45977499999999999</v>
      </c>
    </row>
    <row r="45" spans="1:7" s="4" customFormat="1" ht="16" hidden="1" x14ac:dyDescent="0.15">
      <c r="A45" s="4" t="s">
        <v>68</v>
      </c>
      <c r="B45" s="4">
        <v>0.19850290000000001</v>
      </c>
      <c r="C45" s="4">
        <v>1.2195754999999999</v>
      </c>
      <c r="D45" s="4">
        <v>0.12929160000000001</v>
      </c>
      <c r="E45" s="4">
        <v>1.5349999999999999</v>
      </c>
      <c r="F45" s="4">
        <v>0.124829</v>
      </c>
    </row>
    <row r="46" spans="1:7" s="4" customFormat="1" ht="16" hidden="1" x14ac:dyDescent="0.15">
      <c r="A46" s="4" t="s">
        <v>69</v>
      </c>
      <c r="B46" s="4">
        <v>-8.0131000000000004E-3</v>
      </c>
      <c r="C46" s="4">
        <v>0.99201899999999998</v>
      </c>
      <c r="D46" s="4">
        <v>4.9994299999999998E-2</v>
      </c>
      <c r="E46" s="4">
        <v>-0.16</v>
      </c>
      <c r="F46" s="4">
        <v>0.87267300000000003</v>
      </c>
    </row>
    <row r="47" spans="1:7" s="4" customFormat="1" ht="16" hidden="1" x14ac:dyDescent="0.15">
      <c r="A47" s="4" t="s">
        <v>70</v>
      </c>
      <c r="B47" s="4">
        <v>0.26952880000000001</v>
      </c>
      <c r="C47" s="4">
        <v>1.3093473</v>
      </c>
      <c r="D47" s="4">
        <v>0.13982820000000001</v>
      </c>
      <c r="E47" s="4">
        <v>1.9279999999999999</v>
      </c>
      <c r="F47" s="4">
        <v>5.4017000000000003E-2</v>
      </c>
    </row>
    <row r="48" spans="1:7" s="4" customFormat="1" ht="16" hidden="1" x14ac:dyDescent="0.15">
      <c r="A48" s="4" t="s">
        <v>71</v>
      </c>
      <c r="B48" s="4">
        <v>1.8070599999999999E-2</v>
      </c>
      <c r="C48" s="4">
        <v>1.0182348999999999</v>
      </c>
      <c r="D48" s="4">
        <v>9.0411599999999995E-2</v>
      </c>
      <c r="E48" s="4">
        <v>0.2</v>
      </c>
      <c r="F48" s="4">
        <v>0.84159700000000004</v>
      </c>
    </row>
    <row r="49" spans="1:7" s="4" customFormat="1" ht="16" hidden="1" x14ac:dyDescent="0.15">
      <c r="A49" s="4" t="s">
        <v>72</v>
      </c>
      <c r="B49" s="4">
        <v>1.52505E-2</v>
      </c>
      <c r="C49" s="4">
        <v>1.0153673999999999</v>
      </c>
      <c r="D49" s="4">
        <v>4.4202999999999999E-2</v>
      </c>
      <c r="E49" s="4">
        <v>0.34499999999999997</v>
      </c>
      <c r="F49" s="4">
        <v>0.73011499999999996</v>
      </c>
    </row>
    <row r="50" spans="1:7" s="4" customFormat="1" ht="16" hidden="1" x14ac:dyDescent="0.15">
      <c r="A50" s="4" t="s">
        <v>73</v>
      </c>
      <c r="B50" s="4">
        <v>-0.1056267</v>
      </c>
      <c r="C50" s="4">
        <v>0.89976049999999996</v>
      </c>
      <c r="D50" s="4">
        <v>8.7708599999999998E-2</v>
      </c>
      <c r="E50" s="4">
        <v>-1.204</v>
      </c>
      <c r="F50" s="4">
        <v>0.22858600000000001</v>
      </c>
    </row>
    <row r="51" spans="1:7" s="4" customFormat="1" ht="16" hidden="1" x14ac:dyDescent="0.15">
      <c r="A51" s="4" t="s">
        <v>74</v>
      </c>
      <c r="B51" s="4">
        <v>-8.8745199999999996E-2</v>
      </c>
      <c r="C51" s="4">
        <v>0.91507870000000002</v>
      </c>
      <c r="D51" s="4">
        <v>9.3039399999999994E-2</v>
      </c>
      <c r="E51" s="4">
        <v>-0.95399999999999996</v>
      </c>
      <c r="F51" s="4">
        <v>0.34025</v>
      </c>
    </row>
    <row r="52" spans="1:7" s="4" customFormat="1" ht="16" hidden="1" x14ac:dyDescent="0.15">
      <c r="A52" s="4" t="s">
        <v>75</v>
      </c>
      <c r="B52" s="4">
        <v>-3.4564699999999997E-2</v>
      </c>
      <c r="C52" s="4">
        <v>0.96602580000000005</v>
      </c>
      <c r="D52" s="4">
        <v>3.6468599999999997E-2</v>
      </c>
      <c r="E52" s="4">
        <v>-0.94799999999999995</v>
      </c>
      <c r="F52" s="4">
        <v>0.34332299999999999</v>
      </c>
    </row>
    <row r="53" spans="1:7" s="4" customFormat="1" ht="16" hidden="1" x14ac:dyDescent="0.15">
      <c r="A53" s="4" t="s">
        <v>76</v>
      </c>
      <c r="B53" s="4">
        <v>-5.29851E-2</v>
      </c>
      <c r="C53" s="4">
        <v>0.94839419999999997</v>
      </c>
      <c r="D53" s="4">
        <v>0.33683299999999999</v>
      </c>
      <c r="E53" s="4">
        <v>-0.157</v>
      </c>
      <c r="F53" s="4">
        <v>0.87501799999999996</v>
      </c>
    </row>
    <row r="54" spans="1:7" s="4" customFormat="1" ht="16" hidden="1" x14ac:dyDescent="0.15">
      <c r="A54" s="4" t="s">
        <v>77</v>
      </c>
      <c r="B54" s="4">
        <v>6.6372200000000006E-2</v>
      </c>
      <c r="C54" s="4">
        <v>1.0686244</v>
      </c>
      <c r="D54" s="4">
        <v>8.1055799999999997E-2</v>
      </c>
      <c r="E54" s="4">
        <v>0.81899999999999995</v>
      </c>
      <c r="F54" s="4">
        <v>0.41294900000000001</v>
      </c>
    </row>
    <row r="55" spans="1:7" s="4" customFormat="1" ht="16" hidden="1" x14ac:dyDescent="0.15">
      <c r="A55" s="4" t="s">
        <v>78</v>
      </c>
      <c r="B55" s="4">
        <v>-4.5409199999999997E-2</v>
      </c>
      <c r="C55" s="4">
        <v>0.95560639999999997</v>
      </c>
      <c r="D55" s="4">
        <v>5.4610499999999999E-2</v>
      </c>
      <c r="E55" s="4">
        <v>-0.83199999999999996</v>
      </c>
      <c r="F55" s="4">
        <v>0.40576200000000001</v>
      </c>
    </row>
    <row r="56" spans="1:7" s="4" customFormat="1" ht="16" hidden="1" x14ac:dyDescent="0.15">
      <c r="A56" s="4" t="s">
        <v>79</v>
      </c>
      <c r="B56" s="4">
        <v>-2.4527E-2</v>
      </c>
      <c r="C56" s="4">
        <v>0.97577139999999996</v>
      </c>
      <c r="D56" s="4">
        <v>0.13933409999999999</v>
      </c>
      <c r="E56" s="4">
        <v>-0.17599999999999999</v>
      </c>
      <c r="F56" s="4">
        <v>0.86028400000000005</v>
      </c>
    </row>
    <row r="57" spans="1:7" s="4" customFormat="1" ht="16" hidden="1" x14ac:dyDescent="0.15">
      <c r="A57" s="4" t="s">
        <v>80</v>
      </c>
      <c r="B57" s="4">
        <v>-7.44065E-2</v>
      </c>
      <c r="C57" s="4">
        <v>0.92829430000000002</v>
      </c>
      <c r="D57" s="4">
        <v>6.1564199999999999E-2</v>
      </c>
      <c r="E57" s="4">
        <v>-1.2090000000000001</v>
      </c>
      <c r="F57" s="4">
        <v>0.22692699999999999</v>
      </c>
    </row>
    <row r="58" spans="1:7" s="4" customFormat="1" ht="16" hidden="1" x14ac:dyDescent="0.15">
      <c r="A58" s="4" t="s">
        <v>81</v>
      </c>
      <c r="B58" s="4">
        <v>-6.6530900000000004E-2</v>
      </c>
      <c r="C58" s="4">
        <v>0.93563399999999997</v>
      </c>
      <c r="D58" s="4">
        <v>3.4245600000000001E-2</v>
      </c>
      <c r="E58" s="4">
        <v>-1.9430000000000001</v>
      </c>
      <c r="F58" s="4">
        <v>5.2152999999999998E-2</v>
      </c>
    </row>
    <row r="59" spans="1:7" s="4" customFormat="1" ht="16" hidden="1" x14ac:dyDescent="0.15">
      <c r="A59" s="4" t="s">
        <v>82</v>
      </c>
      <c r="B59" s="4">
        <v>-7.4512400000000006E-2</v>
      </c>
      <c r="C59" s="4">
        <v>0.92819589999999996</v>
      </c>
      <c r="D59" s="4">
        <v>7.5850100000000004E-2</v>
      </c>
      <c r="E59" s="4">
        <v>-0.98199999999999998</v>
      </c>
      <c r="F59" s="4">
        <v>0.32601200000000002</v>
      </c>
    </row>
    <row r="60" spans="1:7" s="2" customFormat="1" x14ac:dyDescent="0.15">
      <c r="A60" s="11" t="s">
        <v>83</v>
      </c>
      <c r="B60" s="2">
        <v>-0.13800509999999999</v>
      </c>
      <c r="C60" s="2">
        <v>0.87109420000000004</v>
      </c>
      <c r="D60" s="2">
        <v>4.2868499999999997E-2</v>
      </c>
      <c r="E60" s="6">
        <v>-3.2189999999999999</v>
      </c>
      <c r="F60" s="2">
        <v>1.3010000000000001E-3</v>
      </c>
      <c r="G60" s="2" t="s">
        <v>111</v>
      </c>
    </row>
    <row r="61" spans="1:7" s="4" customFormat="1" ht="16" hidden="1" x14ac:dyDescent="0.15">
      <c r="A61" s="4" t="s">
        <v>85</v>
      </c>
      <c r="B61" s="4">
        <v>5.9965200000000003E-2</v>
      </c>
      <c r="C61" s="4">
        <v>1.0617996000000001</v>
      </c>
      <c r="D61" s="4">
        <v>0.1695324</v>
      </c>
      <c r="E61" s="4">
        <v>0.35399999999999998</v>
      </c>
      <c r="F61" s="4">
        <v>0.72358500000000003</v>
      </c>
    </row>
    <row r="62" spans="1:7" s="4" customFormat="1" ht="16" hidden="1" x14ac:dyDescent="0.15">
      <c r="A62" s="4" t="s">
        <v>86</v>
      </c>
      <c r="B62" s="4">
        <v>6.5945799999999999E-2</v>
      </c>
      <c r="C62" s="4">
        <v>1.0681688</v>
      </c>
      <c r="D62" s="4">
        <v>5.9267300000000002E-2</v>
      </c>
      <c r="E62" s="4">
        <v>1.113</v>
      </c>
      <c r="F62" s="4">
        <v>0.26594699999999999</v>
      </c>
    </row>
    <row r="63" spans="1:7" s="4" customFormat="1" ht="16" hidden="1" x14ac:dyDescent="0.15">
      <c r="A63" s="4" t="s">
        <v>87</v>
      </c>
      <c r="B63" s="4">
        <v>-0.13106319999999999</v>
      </c>
      <c r="C63" s="4">
        <v>0.87716229999999995</v>
      </c>
      <c r="D63" s="4">
        <v>7.4410199999999996E-2</v>
      </c>
      <c r="E63" s="4">
        <v>-1.7609999999999999</v>
      </c>
      <c r="F63" s="4">
        <v>7.8295000000000003E-2</v>
      </c>
    </row>
    <row r="64" spans="1:7" s="2" customFormat="1" x14ac:dyDescent="0.15">
      <c r="A64" s="2" t="s">
        <v>88</v>
      </c>
      <c r="B64" s="2">
        <v>-0.2784894</v>
      </c>
      <c r="C64" s="2">
        <v>0.75692630000000005</v>
      </c>
      <c r="D64" s="2">
        <v>0.1090223</v>
      </c>
      <c r="E64" s="6">
        <v>-2.5539999999999998</v>
      </c>
      <c r="F64" s="2">
        <v>1.0692999999999999E-2</v>
      </c>
      <c r="G64" s="2" t="s">
        <v>112</v>
      </c>
    </row>
    <row r="65" spans="1:7" s="4" customFormat="1" ht="16" hidden="1" x14ac:dyDescent="0.15">
      <c r="A65" s="4" t="s">
        <v>89</v>
      </c>
      <c r="B65" s="4">
        <v>9.6498399999999998E-2</v>
      </c>
      <c r="C65" s="4">
        <v>1.1013078000000001</v>
      </c>
      <c r="D65" s="4">
        <v>0.3390283</v>
      </c>
      <c r="E65" s="4">
        <v>0.28499999999999998</v>
      </c>
      <c r="F65" s="4">
        <v>0.775949</v>
      </c>
    </row>
    <row r="66" spans="1:7" s="4" customFormat="1" ht="16" hidden="1" x14ac:dyDescent="0.15">
      <c r="A66" s="4" t="s">
        <v>94</v>
      </c>
      <c r="B66" s="4">
        <v>3.6353692</v>
      </c>
      <c r="C66" s="4">
        <v>37.915850599999999</v>
      </c>
      <c r="D66" s="4">
        <v>2.55149E-2</v>
      </c>
      <c r="E66" s="4">
        <v>142.47999999999999</v>
      </c>
      <c r="F66" s="4" t="s">
        <v>102</v>
      </c>
      <c r="G66" s="4" t="s">
        <v>103</v>
      </c>
    </row>
    <row r="67" spans="1:7" s="4" customFormat="1" ht="16" hidden="1" x14ac:dyDescent="0.15">
      <c r="A67" s="4" t="s">
        <v>109</v>
      </c>
      <c r="B67" s="4">
        <v>4.2528200000000002E-2</v>
      </c>
      <c r="C67" s="4">
        <v>1.0434455</v>
      </c>
      <c r="D67" s="4">
        <v>9.0804700000000002E-2</v>
      </c>
      <c r="E67" s="4">
        <v>0.46800000000000003</v>
      </c>
      <c r="F67" s="4">
        <v>0.639575</v>
      </c>
    </row>
  </sheetData>
  <autoFilter ref="A1:G67" xr:uid="{A4DBACD5-321F-EA47-BF85-9FE97E065164}">
    <filterColumn colId="6">
      <filters>
        <filter val="*"/>
        <filter val="**"/>
      </filters>
    </filterColumn>
  </autoFilter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99BC7-F4E4-FE4A-9F2D-74F2C80890BA}">
  <sheetPr filterMode="1"/>
  <dimension ref="A1:H66"/>
  <sheetViews>
    <sheetView workbookViewId="0">
      <selection sqref="A1:G1"/>
    </sheetView>
  </sheetViews>
  <sheetFormatPr baseColWidth="10" defaultRowHeight="14" x14ac:dyDescent="0.15"/>
  <cols>
    <col min="1" max="1" width="44.33203125" style="2" customWidth="1"/>
    <col min="2" max="2" width="10.83203125" style="2"/>
    <col min="3" max="3" width="17.83203125" style="2" customWidth="1"/>
    <col min="4" max="6" width="10.83203125" style="2"/>
    <col min="7" max="7" width="15" style="2" customWidth="1"/>
    <col min="8" max="16384" width="10.83203125" style="2"/>
  </cols>
  <sheetData>
    <row r="1" spans="1:8" x14ac:dyDescent="0.15">
      <c r="A1" s="9" t="s">
        <v>1</v>
      </c>
      <c r="B1" s="9" t="s">
        <v>106</v>
      </c>
      <c r="C1" s="9" t="s">
        <v>113</v>
      </c>
      <c r="D1" s="9" t="s">
        <v>2</v>
      </c>
      <c r="E1" s="9" t="s">
        <v>115</v>
      </c>
      <c r="F1" s="9" t="s">
        <v>99</v>
      </c>
      <c r="G1" s="9" t="s">
        <v>114</v>
      </c>
      <c r="H1" s="9"/>
    </row>
    <row r="2" spans="1:8" hidden="1" x14ac:dyDescent="0.15">
      <c r="A2" s="2" t="s">
        <v>107</v>
      </c>
      <c r="B2" s="2">
        <v>0.67228209999999999</v>
      </c>
      <c r="C2" s="2">
        <f>EXP(B2)</f>
        <v>1.958702178313475</v>
      </c>
      <c r="D2" s="2">
        <v>1.8985399999999999E-2</v>
      </c>
      <c r="E2" s="2">
        <v>35.411000000000001</v>
      </c>
      <c r="F2" s="2" t="s">
        <v>127</v>
      </c>
      <c r="G2" s="2" t="s">
        <v>103</v>
      </c>
    </row>
    <row r="3" spans="1:8" x14ac:dyDescent="0.15">
      <c r="A3" s="2" t="s">
        <v>108</v>
      </c>
      <c r="B3" s="2">
        <v>-5.3089999999999995E-4</v>
      </c>
      <c r="C3" s="2">
        <f t="shared" ref="C3:C66" si="0">EXP(B3)</f>
        <v>0.9994692409024688</v>
      </c>
      <c r="D3" s="2">
        <v>2.1599999999999999E-4</v>
      </c>
      <c r="E3" s="6">
        <v>-2.4580000000000002</v>
      </c>
      <c r="F3" s="2">
        <v>1.4E-2</v>
      </c>
      <c r="G3" s="2" t="s">
        <v>112</v>
      </c>
    </row>
    <row r="4" spans="1:8" hidden="1" x14ac:dyDescent="0.15">
      <c r="A4" s="2" t="s">
        <v>18</v>
      </c>
      <c r="B4" s="2">
        <v>7.0090999999999999E-3</v>
      </c>
      <c r="C4" s="2">
        <f t="shared" si="0"/>
        <v>1.0070337212320157</v>
      </c>
      <c r="D4" s="2">
        <v>2.334E-2</v>
      </c>
      <c r="E4" s="2">
        <v>0.3</v>
      </c>
      <c r="F4" s="2">
        <v>0.76400000000000001</v>
      </c>
    </row>
    <row r="5" spans="1:8" hidden="1" x14ac:dyDescent="0.15">
      <c r="A5" s="2" t="s">
        <v>20</v>
      </c>
      <c r="B5" s="2">
        <v>-1.67665E-2</v>
      </c>
      <c r="C5" s="2">
        <f t="shared" si="0"/>
        <v>0.98337327548896092</v>
      </c>
      <c r="D5" s="2">
        <v>1.8417300000000001E-2</v>
      </c>
      <c r="E5" s="2">
        <v>-0.91</v>
      </c>
      <c r="F5" s="2">
        <v>0.36270000000000002</v>
      </c>
    </row>
    <row r="6" spans="1:8" hidden="1" x14ac:dyDescent="0.15">
      <c r="A6" s="2" t="s">
        <v>21</v>
      </c>
      <c r="B6" s="2">
        <v>7.4099999999999999E-3</v>
      </c>
      <c r="C6" s="2">
        <f t="shared" si="0"/>
        <v>1.0074375219873106</v>
      </c>
      <c r="D6" s="2">
        <v>1.12268E-2</v>
      </c>
      <c r="E6" s="2">
        <v>0.66</v>
      </c>
      <c r="F6" s="2">
        <v>0.50929999999999997</v>
      </c>
    </row>
    <row r="7" spans="1:8" hidden="1" x14ac:dyDescent="0.15">
      <c r="A7" s="2" t="s">
        <v>22</v>
      </c>
      <c r="B7" s="2">
        <v>-5.40058E-2</v>
      </c>
      <c r="C7" s="2">
        <f t="shared" si="0"/>
        <v>0.94742661141151641</v>
      </c>
      <c r="D7" s="2">
        <v>3.7317400000000001E-2</v>
      </c>
      <c r="E7" s="2">
        <v>-1.4470000000000001</v>
      </c>
      <c r="F7" s="2">
        <v>0.1479</v>
      </c>
    </row>
    <row r="8" spans="1:8" hidden="1" x14ac:dyDescent="0.15">
      <c r="A8" s="2" t="s">
        <v>23</v>
      </c>
      <c r="B8" s="2">
        <v>-4.5715E-3</v>
      </c>
      <c r="C8" s="2">
        <f t="shared" si="0"/>
        <v>0.9954389334013054</v>
      </c>
      <c r="D8" s="2">
        <v>1.31164E-2</v>
      </c>
      <c r="E8" s="2">
        <v>-0.34899999999999998</v>
      </c>
      <c r="F8" s="2">
        <v>0.72750000000000004</v>
      </c>
    </row>
    <row r="9" spans="1:8" x14ac:dyDescent="0.15">
      <c r="A9" s="2" t="s">
        <v>24</v>
      </c>
      <c r="B9" s="2">
        <v>6.1494100000000003E-2</v>
      </c>
      <c r="C9" s="2">
        <f t="shared" si="0"/>
        <v>1.0634242223073791</v>
      </c>
      <c r="D9" s="2">
        <v>2.5741900000000002E-2</v>
      </c>
      <c r="E9" s="6">
        <v>2.3889999999999998</v>
      </c>
      <c r="F9" s="2">
        <v>1.6899999999999998E-2</v>
      </c>
      <c r="G9" s="2" t="s">
        <v>112</v>
      </c>
    </row>
    <row r="10" spans="1:8" x14ac:dyDescent="0.15">
      <c r="A10" s="2" t="s">
        <v>29</v>
      </c>
      <c r="B10" s="2">
        <v>-5.04386E-2</v>
      </c>
      <c r="C10" s="2">
        <f t="shared" si="0"/>
        <v>0.95081230675573625</v>
      </c>
      <c r="D10" s="2">
        <v>1.69277E-2</v>
      </c>
      <c r="E10" s="6">
        <v>-2.98</v>
      </c>
      <c r="F10" s="2">
        <v>2.8999999999999998E-3</v>
      </c>
      <c r="G10" s="2" t="s">
        <v>111</v>
      </c>
    </row>
    <row r="11" spans="1:8" hidden="1" x14ac:dyDescent="0.15">
      <c r="A11" s="2" t="s">
        <v>30</v>
      </c>
      <c r="B11" s="2">
        <v>1.9259800000000001E-2</v>
      </c>
      <c r="C11" s="2">
        <f t="shared" si="0"/>
        <v>1.0194464664080602</v>
      </c>
      <c r="D11" s="2">
        <v>1.3238099999999999E-2</v>
      </c>
      <c r="E11" s="2">
        <v>1.4550000000000001</v>
      </c>
      <c r="F11" s="2">
        <v>0.14580000000000001</v>
      </c>
    </row>
    <row r="12" spans="1:8" hidden="1" x14ac:dyDescent="0.15">
      <c r="A12" s="2" t="s">
        <v>33</v>
      </c>
      <c r="B12" s="2">
        <v>-0.25849569999999999</v>
      </c>
      <c r="C12" s="2">
        <f t="shared" si="0"/>
        <v>0.77221235155515744</v>
      </c>
      <c r="D12" s="2">
        <v>2.9864600000000002E-2</v>
      </c>
      <c r="E12" s="2">
        <v>-8.6560000000000006</v>
      </c>
      <c r="F12" s="2" t="s">
        <v>127</v>
      </c>
      <c r="G12" s="2" t="s">
        <v>103</v>
      </c>
    </row>
    <row r="13" spans="1:8" x14ac:dyDescent="0.15">
      <c r="A13" s="11" t="s">
        <v>35</v>
      </c>
      <c r="B13" s="2">
        <v>-0.64118010000000003</v>
      </c>
      <c r="C13" s="2">
        <f t="shared" si="0"/>
        <v>0.52667053327225688</v>
      </c>
      <c r="D13" s="2">
        <v>0.26179459999999999</v>
      </c>
      <c r="E13" s="6">
        <v>-2.4489999999999998</v>
      </c>
      <c r="F13" s="2">
        <v>1.44E-2</v>
      </c>
      <c r="G13" s="2" t="s">
        <v>112</v>
      </c>
    </row>
    <row r="14" spans="1:8" hidden="1" x14ac:dyDescent="0.15">
      <c r="A14" s="2" t="s">
        <v>36</v>
      </c>
      <c r="B14" s="2">
        <v>-0.1409687</v>
      </c>
      <c r="C14" s="2">
        <f t="shared" si="0"/>
        <v>0.86851649583855361</v>
      </c>
      <c r="D14" s="2">
        <v>0.15145429999999999</v>
      </c>
      <c r="E14" s="2">
        <v>-0.93100000000000005</v>
      </c>
      <c r="F14" s="2">
        <v>0.35199999999999998</v>
      </c>
    </row>
    <row r="15" spans="1:8" x14ac:dyDescent="0.15">
      <c r="A15" s="2" t="s">
        <v>37</v>
      </c>
      <c r="B15" s="2">
        <v>-7.1745900000000001E-2</v>
      </c>
      <c r="C15" s="2">
        <f t="shared" si="0"/>
        <v>0.93076737375508178</v>
      </c>
      <c r="D15" s="2">
        <v>3.3060699999999998E-2</v>
      </c>
      <c r="E15" s="6">
        <v>-2.17</v>
      </c>
      <c r="F15" s="2">
        <v>0.03</v>
      </c>
      <c r="G15" s="2" t="s">
        <v>112</v>
      </c>
    </row>
    <row r="16" spans="1:8" x14ac:dyDescent="0.15">
      <c r="A16" s="2" t="s">
        <v>39</v>
      </c>
      <c r="B16" s="2">
        <v>-0.14301939999999999</v>
      </c>
      <c r="C16" s="2">
        <f t="shared" si="0"/>
        <v>0.86673725402965718</v>
      </c>
      <c r="D16" s="2">
        <v>5.8809699999999999E-2</v>
      </c>
      <c r="E16" s="6">
        <v>-2.4319999999999999</v>
      </c>
      <c r="F16" s="2">
        <v>1.5100000000000001E-2</v>
      </c>
      <c r="G16" s="2" t="s">
        <v>112</v>
      </c>
    </row>
    <row r="17" spans="1:7" hidden="1" x14ac:dyDescent="0.15">
      <c r="A17" s="2" t="s">
        <v>40</v>
      </c>
      <c r="B17" s="2">
        <v>1.43874E-2</v>
      </c>
      <c r="C17" s="2">
        <f t="shared" si="0"/>
        <v>1.0144913967886324</v>
      </c>
      <c r="D17" s="2">
        <v>3.4566899999999998E-2</v>
      </c>
      <c r="E17" s="2">
        <v>0.41599999999999998</v>
      </c>
      <c r="F17" s="2">
        <v>0.67730000000000001</v>
      </c>
    </row>
    <row r="18" spans="1:7" hidden="1" x14ac:dyDescent="0.15">
      <c r="A18" s="2" t="s">
        <v>41</v>
      </c>
      <c r="B18" s="2">
        <v>-3.0463E-3</v>
      </c>
      <c r="C18" s="2">
        <f t="shared" si="0"/>
        <v>0.99695833526384892</v>
      </c>
      <c r="D18" s="2">
        <v>1.8415000000000001E-2</v>
      </c>
      <c r="E18" s="2">
        <v>-0.16500000000000001</v>
      </c>
      <c r="F18" s="2">
        <v>0.86860000000000004</v>
      </c>
    </row>
    <row r="19" spans="1:7" hidden="1" x14ac:dyDescent="0.15">
      <c r="A19" s="2" t="s">
        <v>42</v>
      </c>
      <c r="B19" s="2">
        <v>-3.6094500000000002E-2</v>
      </c>
      <c r="C19" s="2">
        <f t="shared" si="0"/>
        <v>0.96454913928249264</v>
      </c>
      <c r="D19" s="2">
        <v>5.6266799999999999E-2</v>
      </c>
      <c r="E19" s="2">
        <v>-0.64100000000000001</v>
      </c>
      <c r="F19" s="2">
        <v>0.5212</v>
      </c>
    </row>
    <row r="20" spans="1:7" hidden="1" x14ac:dyDescent="0.15">
      <c r="A20" s="2" t="s">
        <v>43</v>
      </c>
      <c r="B20" s="2">
        <v>4.1423599999999998E-2</v>
      </c>
      <c r="C20" s="2">
        <f t="shared" si="0"/>
        <v>1.0422935275839758</v>
      </c>
      <c r="D20" s="2">
        <v>3.0644100000000001E-2</v>
      </c>
      <c r="E20" s="2">
        <v>1.3520000000000001</v>
      </c>
      <c r="F20" s="2">
        <v>0.17649999999999999</v>
      </c>
    </row>
    <row r="21" spans="1:7" hidden="1" x14ac:dyDescent="0.15">
      <c r="A21" s="2" t="s">
        <v>44</v>
      </c>
      <c r="B21" s="2">
        <v>7.4979400000000002E-2</v>
      </c>
      <c r="C21" s="2">
        <f t="shared" si="0"/>
        <v>1.0778619466998272</v>
      </c>
      <c r="D21" s="2">
        <v>6.4864900000000003E-2</v>
      </c>
      <c r="E21" s="2">
        <v>1.1559999999999999</v>
      </c>
      <c r="F21" s="2">
        <v>0.24779999999999999</v>
      </c>
    </row>
    <row r="22" spans="1:7" hidden="1" x14ac:dyDescent="0.15">
      <c r="A22" s="2" t="s">
        <v>45</v>
      </c>
      <c r="B22" s="2">
        <v>-7.1148900000000001E-2</v>
      </c>
      <c r="C22" s="2">
        <f t="shared" si="0"/>
        <v>0.93132320777716038</v>
      </c>
      <c r="D22" s="2">
        <v>7.6739299999999996E-2</v>
      </c>
      <c r="E22" s="2">
        <v>-0.92700000000000005</v>
      </c>
      <c r="F22" s="2">
        <v>0.35389999999999999</v>
      </c>
    </row>
    <row r="23" spans="1:7" hidden="1" x14ac:dyDescent="0.15">
      <c r="A23" s="2" t="s">
        <v>46</v>
      </c>
      <c r="B23" s="2">
        <v>3.0469400000000001E-2</v>
      </c>
      <c r="C23" s="2">
        <f t="shared" si="0"/>
        <v>1.0309383428528198</v>
      </c>
      <c r="D23" s="2">
        <v>1.99247E-2</v>
      </c>
      <c r="E23" s="2">
        <v>1.5289999999999999</v>
      </c>
      <c r="F23" s="2">
        <v>0.1263</v>
      </c>
    </row>
    <row r="24" spans="1:7" hidden="1" x14ac:dyDescent="0.15">
      <c r="A24" s="2" t="s">
        <v>47</v>
      </c>
      <c r="B24" s="2">
        <v>-1.22655E-2</v>
      </c>
      <c r="C24" s="2">
        <f t="shared" si="0"/>
        <v>0.9878094146437949</v>
      </c>
      <c r="D24" s="2">
        <v>2.5899200000000001E-2</v>
      </c>
      <c r="E24" s="2">
        <v>-0.47399999999999998</v>
      </c>
      <c r="F24" s="2">
        <v>0.63580000000000003</v>
      </c>
    </row>
    <row r="25" spans="1:7" hidden="1" x14ac:dyDescent="0.15">
      <c r="A25" s="2" t="s">
        <v>49</v>
      </c>
      <c r="B25" s="2">
        <v>-5.9008000000000003E-3</v>
      </c>
      <c r="C25" s="2">
        <f t="shared" si="0"/>
        <v>0.9941165755270176</v>
      </c>
      <c r="D25" s="2">
        <v>4.5323000000000002E-2</v>
      </c>
      <c r="E25" s="2">
        <v>-0.13</v>
      </c>
      <c r="F25" s="2">
        <v>0.89639999999999997</v>
      </c>
    </row>
    <row r="26" spans="1:7" hidden="1" x14ac:dyDescent="0.15">
      <c r="A26" s="2" t="s">
        <v>50</v>
      </c>
      <c r="B26" s="2">
        <v>-5.06992E-2</v>
      </c>
      <c r="C26" s="2">
        <f t="shared" si="0"/>
        <v>0.95056455735174517</v>
      </c>
      <c r="D26" s="2">
        <v>6.3233700000000004E-2</v>
      </c>
      <c r="E26" s="2">
        <v>-0.80200000000000005</v>
      </c>
      <c r="F26" s="2">
        <v>0.42270000000000002</v>
      </c>
    </row>
    <row r="27" spans="1:7" hidden="1" x14ac:dyDescent="0.15">
      <c r="A27" s="2" t="s">
        <v>51</v>
      </c>
      <c r="B27" s="2">
        <v>6.6450000000000005E-4</v>
      </c>
      <c r="C27" s="2">
        <f t="shared" si="0"/>
        <v>1.000664720829036</v>
      </c>
      <c r="D27" s="2">
        <v>6.8919300000000003E-2</v>
      </c>
      <c r="E27" s="2">
        <v>0.01</v>
      </c>
      <c r="F27" s="2">
        <v>0.99229999999999996</v>
      </c>
    </row>
    <row r="28" spans="1:7" hidden="1" x14ac:dyDescent="0.15">
      <c r="A28" s="2" t="s">
        <v>52</v>
      </c>
      <c r="B28" s="2">
        <v>9.7777999999999997E-3</v>
      </c>
      <c r="C28" s="2">
        <f t="shared" si="0"/>
        <v>1.0098257588697179</v>
      </c>
      <c r="D28" s="2">
        <v>2.88991E-2</v>
      </c>
      <c r="E28" s="2">
        <v>0.33800000000000002</v>
      </c>
      <c r="F28" s="2">
        <v>0.73509999999999998</v>
      </c>
    </row>
    <row r="29" spans="1:7" hidden="1" x14ac:dyDescent="0.15">
      <c r="A29" s="2" t="s">
        <v>53</v>
      </c>
      <c r="B29" s="2">
        <v>1.27736E-2</v>
      </c>
      <c r="C29" s="2">
        <f t="shared" si="0"/>
        <v>1.012855530907705</v>
      </c>
      <c r="D29" s="2">
        <v>2.52077E-2</v>
      </c>
      <c r="E29" s="2">
        <v>0.50700000000000001</v>
      </c>
      <c r="F29" s="2">
        <v>0.61240000000000006</v>
      </c>
    </row>
    <row r="30" spans="1:7" hidden="1" x14ac:dyDescent="0.15">
      <c r="A30" s="2" t="s">
        <v>54</v>
      </c>
      <c r="B30" s="2">
        <v>3.74764E-2</v>
      </c>
      <c r="C30" s="2">
        <f t="shared" si="0"/>
        <v>1.038187495567813</v>
      </c>
      <c r="D30" s="2">
        <v>5.5207100000000002E-2</v>
      </c>
      <c r="E30" s="2">
        <v>0.67900000000000005</v>
      </c>
      <c r="F30" s="2">
        <v>0.49730000000000002</v>
      </c>
    </row>
    <row r="31" spans="1:7" hidden="1" x14ac:dyDescent="0.15">
      <c r="A31" s="2" t="s">
        <v>55</v>
      </c>
      <c r="B31" s="2">
        <v>2.86754E-2</v>
      </c>
      <c r="C31" s="2">
        <f t="shared" si="0"/>
        <v>1.0290904974786403</v>
      </c>
      <c r="D31" s="2">
        <v>4.4774399999999999E-2</v>
      </c>
      <c r="E31" s="2">
        <v>0.64</v>
      </c>
      <c r="F31" s="2">
        <v>0.52190000000000003</v>
      </c>
    </row>
    <row r="32" spans="1:7" hidden="1" x14ac:dyDescent="0.15">
      <c r="A32" s="2" t="s">
        <v>56</v>
      </c>
      <c r="B32" s="2">
        <v>6.3438099999999997E-2</v>
      </c>
      <c r="C32" s="2">
        <f t="shared" si="0"/>
        <v>1.0654935297106578</v>
      </c>
      <c r="D32" s="2">
        <v>3.2958800000000003E-2</v>
      </c>
      <c r="E32" s="2">
        <v>1.925</v>
      </c>
      <c r="F32" s="2">
        <v>5.4300000000000001E-2</v>
      </c>
      <c r="G32" s="2" t="s">
        <v>110</v>
      </c>
    </row>
    <row r="33" spans="1:7" hidden="1" x14ac:dyDescent="0.15">
      <c r="A33" s="2" t="s">
        <v>57</v>
      </c>
      <c r="B33" s="2">
        <v>-9.3262999999999992E-3</v>
      </c>
      <c r="C33" s="2">
        <f t="shared" si="0"/>
        <v>0.99071705505042418</v>
      </c>
      <c r="D33" s="2">
        <v>2.49289E-2</v>
      </c>
      <c r="E33" s="2">
        <v>-0.374</v>
      </c>
      <c r="F33" s="2">
        <v>0.70830000000000004</v>
      </c>
    </row>
    <row r="34" spans="1:7" hidden="1" x14ac:dyDescent="0.15">
      <c r="A34" s="2" t="s">
        <v>58</v>
      </c>
      <c r="B34" s="2">
        <v>-1.2519799999999999E-2</v>
      </c>
      <c r="C34" s="2">
        <f t="shared" si="0"/>
        <v>0.98755824664701541</v>
      </c>
      <c r="D34" s="2">
        <v>2.6198300000000001E-2</v>
      </c>
      <c r="E34" s="2">
        <v>-0.47799999999999998</v>
      </c>
      <c r="F34" s="2">
        <v>0.63280000000000003</v>
      </c>
    </row>
    <row r="35" spans="1:7" hidden="1" x14ac:dyDescent="0.15">
      <c r="A35" s="2" t="s">
        <v>59</v>
      </c>
      <c r="B35" s="2">
        <v>-2.47659E-2</v>
      </c>
      <c r="C35" s="2">
        <f t="shared" si="0"/>
        <v>0.9755382588056859</v>
      </c>
      <c r="D35" s="2">
        <v>6.6859399999999999E-2</v>
      </c>
      <c r="E35" s="2">
        <v>-0.37</v>
      </c>
      <c r="F35" s="2">
        <v>0.71109999999999995</v>
      </c>
    </row>
    <row r="36" spans="1:7" hidden="1" x14ac:dyDescent="0.15">
      <c r="A36" s="2" t="s">
        <v>60</v>
      </c>
      <c r="B36" s="2">
        <v>1.4102999999999999E-2</v>
      </c>
      <c r="C36" s="2">
        <f t="shared" si="0"/>
        <v>1.014202916459233</v>
      </c>
      <c r="D36" s="2">
        <v>2.3551800000000001E-2</v>
      </c>
      <c r="E36" s="2">
        <v>0.59899999999999998</v>
      </c>
      <c r="F36" s="2">
        <v>0.54930000000000001</v>
      </c>
    </row>
    <row r="37" spans="1:7" x14ac:dyDescent="0.15">
      <c r="A37" s="2" t="s">
        <v>61</v>
      </c>
      <c r="B37" s="2">
        <v>-8.5490499999999997E-2</v>
      </c>
      <c r="C37" s="2">
        <f t="shared" si="0"/>
        <v>0.91806186460044514</v>
      </c>
      <c r="D37" s="2">
        <v>3.7996599999999998E-2</v>
      </c>
      <c r="E37" s="6">
        <v>-2.25</v>
      </c>
      <c r="F37" s="2">
        <v>2.4500000000000001E-2</v>
      </c>
      <c r="G37" s="2" t="s">
        <v>112</v>
      </c>
    </row>
    <row r="38" spans="1:7" hidden="1" x14ac:dyDescent="0.15">
      <c r="A38" s="2" t="s">
        <v>62</v>
      </c>
      <c r="B38" s="2">
        <v>-1.2182500000000001E-2</v>
      </c>
      <c r="C38" s="2">
        <f t="shared" si="0"/>
        <v>0.98789140622781402</v>
      </c>
      <c r="D38" s="2">
        <v>3.8962200000000002E-2</v>
      </c>
      <c r="E38" s="2">
        <v>-0.313</v>
      </c>
      <c r="F38" s="2">
        <v>0.75449999999999995</v>
      </c>
    </row>
    <row r="39" spans="1:7" hidden="1" x14ac:dyDescent="0.15">
      <c r="A39" s="2" t="s">
        <v>63</v>
      </c>
      <c r="B39" s="2">
        <v>5.7013800000000003E-2</v>
      </c>
      <c r="C39" s="2">
        <f t="shared" si="0"/>
        <v>1.0586704199464891</v>
      </c>
      <c r="D39" s="2">
        <v>4.2864300000000001E-2</v>
      </c>
      <c r="E39" s="2">
        <v>1.33</v>
      </c>
      <c r="F39" s="2">
        <v>0.1835</v>
      </c>
    </row>
    <row r="40" spans="1:7" hidden="1" x14ac:dyDescent="0.15">
      <c r="A40" s="2" t="s">
        <v>64</v>
      </c>
      <c r="B40" s="2">
        <v>-4.4415400000000001E-2</v>
      </c>
      <c r="C40" s="2">
        <f t="shared" si="0"/>
        <v>0.95655652135230973</v>
      </c>
      <c r="D40" s="2">
        <v>9.3485200000000004E-2</v>
      </c>
      <c r="E40" s="2">
        <v>-0.47499999999999998</v>
      </c>
      <c r="F40" s="2">
        <v>0.63470000000000004</v>
      </c>
    </row>
    <row r="41" spans="1:7" hidden="1" x14ac:dyDescent="0.15">
      <c r="A41" s="2" t="s">
        <v>65</v>
      </c>
      <c r="B41" s="2">
        <v>-8.6637999999999993E-3</v>
      </c>
      <c r="C41" s="2">
        <f t="shared" si="0"/>
        <v>0.99137362256336936</v>
      </c>
      <c r="D41" s="2">
        <v>2.54442E-2</v>
      </c>
      <c r="E41" s="2">
        <v>-0.34100000000000003</v>
      </c>
      <c r="F41" s="2">
        <v>0.73350000000000004</v>
      </c>
    </row>
    <row r="42" spans="1:7" hidden="1" x14ac:dyDescent="0.15">
      <c r="A42" s="2" t="s">
        <v>66</v>
      </c>
      <c r="B42" s="2">
        <v>-0.1013435</v>
      </c>
      <c r="C42" s="2">
        <f t="shared" si="0"/>
        <v>0.9036225852115084</v>
      </c>
      <c r="D42" s="2">
        <v>9.3418299999999996E-2</v>
      </c>
      <c r="E42" s="2">
        <v>-1.085</v>
      </c>
      <c r="F42" s="2">
        <v>0.27810000000000001</v>
      </c>
    </row>
    <row r="43" spans="1:7" hidden="1" x14ac:dyDescent="0.15">
      <c r="A43" s="2" t="s">
        <v>67</v>
      </c>
      <c r="B43" s="2">
        <v>-7.6351600000000006E-2</v>
      </c>
      <c r="C43" s="2">
        <f t="shared" si="0"/>
        <v>0.9264903952621385</v>
      </c>
      <c r="D43" s="2">
        <v>7.1403099999999997E-2</v>
      </c>
      <c r="E43" s="2">
        <v>-1.069</v>
      </c>
      <c r="F43" s="2">
        <v>0.28499999999999998</v>
      </c>
    </row>
    <row r="44" spans="1:7" hidden="1" x14ac:dyDescent="0.15">
      <c r="A44" s="2" t="s">
        <v>68</v>
      </c>
      <c r="B44" s="2">
        <v>-2.8700699999999999E-2</v>
      </c>
      <c r="C44" s="2">
        <f t="shared" si="0"/>
        <v>0.97170725292874227</v>
      </c>
      <c r="D44" s="2">
        <v>7.1256399999999998E-2</v>
      </c>
      <c r="E44" s="2">
        <v>-0.40300000000000002</v>
      </c>
      <c r="F44" s="2">
        <v>0.68710000000000004</v>
      </c>
    </row>
    <row r="45" spans="1:7" hidden="1" x14ac:dyDescent="0.15">
      <c r="A45" s="2" t="s">
        <v>69</v>
      </c>
      <c r="B45" s="2">
        <v>2.2867200000000001E-2</v>
      </c>
      <c r="C45" s="2">
        <f t="shared" si="0"/>
        <v>1.0231306587734488</v>
      </c>
      <c r="D45" s="2">
        <v>2.2134000000000001E-2</v>
      </c>
      <c r="E45" s="2">
        <v>1.0329999999999999</v>
      </c>
      <c r="F45" s="2">
        <v>0.30159999999999998</v>
      </c>
    </row>
    <row r="46" spans="1:7" hidden="1" x14ac:dyDescent="0.15">
      <c r="A46" s="2" t="s">
        <v>70</v>
      </c>
      <c r="B46" s="2">
        <v>-0.1037889</v>
      </c>
      <c r="C46" s="2">
        <f t="shared" si="0"/>
        <v>0.9014155661636496</v>
      </c>
      <c r="D46" s="2">
        <v>8.0040700000000006E-2</v>
      </c>
      <c r="E46" s="2">
        <v>-1.2969999999999999</v>
      </c>
      <c r="F46" s="2">
        <v>0.1948</v>
      </c>
    </row>
    <row r="47" spans="1:7" hidden="1" x14ac:dyDescent="0.15">
      <c r="A47" s="2" t="s">
        <v>71</v>
      </c>
      <c r="B47" s="2">
        <v>-2.1151999999999998E-3</v>
      </c>
      <c r="C47" s="2">
        <f t="shared" si="0"/>
        <v>0.99788703545909452</v>
      </c>
      <c r="D47" s="2">
        <v>4.3608800000000003E-2</v>
      </c>
      <c r="E47" s="2">
        <v>-4.9000000000000002E-2</v>
      </c>
      <c r="F47" s="2">
        <v>0.96130000000000004</v>
      </c>
    </row>
    <row r="48" spans="1:7" hidden="1" x14ac:dyDescent="0.15">
      <c r="A48" s="2" t="s">
        <v>72</v>
      </c>
      <c r="B48" s="2">
        <v>3.3472200000000001E-2</v>
      </c>
      <c r="C48" s="2">
        <f t="shared" si="0"/>
        <v>1.0340386970509237</v>
      </c>
      <c r="D48" s="2">
        <v>2.5053300000000001E-2</v>
      </c>
      <c r="E48" s="2">
        <v>1.3360000000000001</v>
      </c>
      <c r="F48" s="2">
        <v>0.18160000000000001</v>
      </c>
    </row>
    <row r="49" spans="1:6" hidden="1" x14ac:dyDescent="0.15">
      <c r="A49" s="2" t="s">
        <v>73</v>
      </c>
      <c r="B49" s="2">
        <v>2.6683700000000001E-2</v>
      </c>
      <c r="C49" s="2">
        <f t="shared" si="0"/>
        <v>1.0270428977139177</v>
      </c>
      <c r="D49" s="2">
        <v>4.4702499999999999E-2</v>
      </c>
      <c r="E49" s="2">
        <v>0.59699999999999998</v>
      </c>
      <c r="F49" s="2">
        <v>0.55059999999999998</v>
      </c>
    </row>
    <row r="50" spans="1:6" hidden="1" x14ac:dyDescent="0.15">
      <c r="A50" s="2" t="s">
        <v>74</v>
      </c>
      <c r="B50" s="2">
        <v>1.6802999999999998E-2</v>
      </c>
      <c r="C50" s="2">
        <f t="shared" si="0"/>
        <v>1.0169449644326432</v>
      </c>
      <c r="D50" s="2">
        <v>6.8889599999999995E-2</v>
      </c>
      <c r="E50" s="2">
        <v>0.24399999999999999</v>
      </c>
      <c r="F50" s="2">
        <v>0.80730000000000002</v>
      </c>
    </row>
    <row r="51" spans="1:6" hidden="1" x14ac:dyDescent="0.15">
      <c r="A51" s="2" t="s">
        <v>75</v>
      </c>
      <c r="B51" s="2">
        <v>1.02071E-2</v>
      </c>
      <c r="C51" s="2">
        <f t="shared" si="0"/>
        <v>1.0102593701359994</v>
      </c>
      <c r="D51" s="2">
        <v>2.1231900000000001E-2</v>
      </c>
      <c r="E51" s="2">
        <v>0.48099999999999998</v>
      </c>
      <c r="F51" s="2">
        <v>0.63070000000000004</v>
      </c>
    </row>
    <row r="52" spans="1:6" hidden="1" x14ac:dyDescent="0.15">
      <c r="A52" s="2" t="s">
        <v>76</v>
      </c>
      <c r="B52" s="2">
        <v>0.13715569999999999</v>
      </c>
      <c r="C52" s="2">
        <f t="shared" si="0"/>
        <v>1.1470067235648294</v>
      </c>
      <c r="D52" s="2">
        <v>9.7309599999999996E-2</v>
      </c>
      <c r="E52" s="2">
        <v>1.409</v>
      </c>
      <c r="F52" s="2">
        <v>0.1588</v>
      </c>
    </row>
    <row r="53" spans="1:6" hidden="1" x14ac:dyDescent="0.15">
      <c r="A53" s="2" t="s">
        <v>77</v>
      </c>
      <c r="B53" s="2">
        <v>9.4544999999999994E-3</v>
      </c>
      <c r="C53" s="2">
        <f t="shared" si="0"/>
        <v>1.0094993349711416</v>
      </c>
      <c r="D53" s="2">
        <v>4.2248599999999997E-2</v>
      </c>
      <c r="E53" s="2">
        <v>0.224</v>
      </c>
      <c r="F53" s="2">
        <v>0.82289999999999996</v>
      </c>
    </row>
    <row r="54" spans="1:6" hidden="1" x14ac:dyDescent="0.15">
      <c r="A54" s="2" t="s">
        <v>78</v>
      </c>
      <c r="B54" s="2">
        <v>-1.15954E-2</v>
      </c>
      <c r="C54" s="2">
        <f t="shared" si="0"/>
        <v>0.98847156756210564</v>
      </c>
      <c r="D54" s="2">
        <v>2.96271E-2</v>
      </c>
      <c r="E54" s="2">
        <v>-0.39100000000000001</v>
      </c>
      <c r="F54" s="2">
        <v>0.69550000000000001</v>
      </c>
    </row>
    <row r="55" spans="1:6" hidden="1" x14ac:dyDescent="0.15">
      <c r="A55" s="2" t="s">
        <v>79</v>
      </c>
      <c r="B55" s="2">
        <v>4.7160000000000001E-2</v>
      </c>
      <c r="C55" s="2">
        <f t="shared" si="0"/>
        <v>1.0482897220177856</v>
      </c>
      <c r="D55" s="2">
        <v>0.1076371</v>
      </c>
      <c r="E55" s="2">
        <v>0.438</v>
      </c>
      <c r="F55" s="2">
        <v>0.6613</v>
      </c>
    </row>
    <row r="56" spans="1:6" hidden="1" x14ac:dyDescent="0.15">
      <c r="A56" s="2" t="s">
        <v>80</v>
      </c>
      <c r="B56" s="2">
        <v>-1.28433E-2</v>
      </c>
      <c r="C56" s="2">
        <f t="shared" si="0"/>
        <v>0.98723882322374945</v>
      </c>
      <c r="D56" s="2">
        <v>3.3857900000000003E-2</v>
      </c>
      <c r="E56" s="2">
        <v>-0.379</v>
      </c>
      <c r="F56" s="2">
        <v>0.70450000000000002</v>
      </c>
    </row>
    <row r="57" spans="1:6" hidden="1" x14ac:dyDescent="0.15">
      <c r="A57" s="2" t="s">
        <v>81</v>
      </c>
      <c r="B57" s="2">
        <v>1.4539399999999999E-2</v>
      </c>
      <c r="C57" s="2">
        <f t="shared" si="0"/>
        <v>1.0146456112009428</v>
      </c>
      <c r="D57" s="2">
        <v>1.8412399999999999E-2</v>
      </c>
      <c r="E57" s="2">
        <v>0.79</v>
      </c>
      <c r="F57" s="2">
        <v>0.42980000000000002</v>
      </c>
    </row>
    <row r="58" spans="1:6" hidden="1" x14ac:dyDescent="0.15">
      <c r="A58" s="2" t="s">
        <v>82</v>
      </c>
      <c r="B58" s="2">
        <v>-7.1680400000000005E-2</v>
      </c>
      <c r="C58" s="2">
        <f t="shared" si="0"/>
        <v>0.93082834101471867</v>
      </c>
      <c r="D58" s="2">
        <v>6.49478E-2</v>
      </c>
      <c r="E58" s="2">
        <v>-1.1040000000000001</v>
      </c>
      <c r="F58" s="2">
        <v>0.26979999999999998</v>
      </c>
    </row>
    <row r="59" spans="1:6" hidden="1" x14ac:dyDescent="0.15">
      <c r="A59" s="2" t="s">
        <v>83</v>
      </c>
      <c r="B59" s="2">
        <v>-2.1274100000000001E-2</v>
      </c>
      <c r="C59" s="2">
        <f t="shared" si="0"/>
        <v>0.97895059743266744</v>
      </c>
      <c r="D59" s="2">
        <v>2.54664E-2</v>
      </c>
      <c r="E59" s="2">
        <v>-0.83499999999999996</v>
      </c>
      <c r="F59" s="2">
        <v>0.40350000000000003</v>
      </c>
    </row>
    <row r="60" spans="1:6" hidden="1" x14ac:dyDescent="0.15">
      <c r="A60" s="2" t="s">
        <v>85</v>
      </c>
      <c r="B60" s="2">
        <v>-1.76673E-2</v>
      </c>
      <c r="C60" s="2">
        <f t="shared" si="0"/>
        <v>0.9824878516971487</v>
      </c>
      <c r="D60" s="2">
        <v>9.33808E-2</v>
      </c>
      <c r="E60" s="2">
        <v>-0.189</v>
      </c>
      <c r="F60" s="2">
        <v>0.84989999999999999</v>
      </c>
    </row>
    <row r="61" spans="1:6" hidden="1" x14ac:dyDescent="0.15">
      <c r="A61" s="2" t="s">
        <v>86</v>
      </c>
      <c r="B61" s="2">
        <v>1.6787199999999999E-2</v>
      </c>
      <c r="C61" s="2">
        <f t="shared" si="0"/>
        <v>1.0169288968291395</v>
      </c>
      <c r="D61" s="2">
        <v>3.9557000000000002E-2</v>
      </c>
      <c r="E61" s="2">
        <v>0.42399999999999999</v>
      </c>
      <c r="F61" s="2">
        <v>0.67130000000000001</v>
      </c>
    </row>
    <row r="62" spans="1:6" hidden="1" x14ac:dyDescent="0.15">
      <c r="A62" s="2" t="s">
        <v>87</v>
      </c>
      <c r="B62" s="2">
        <v>1.5024999999999999E-3</v>
      </c>
      <c r="C62" s="2">
        <f t="shared" si="0"/>
        <v>1.0015036293186546</v>
      </c>
      <c r="D62" s="2">
        <v>5.2244499999999999E-2</v>
      </c>
      <c r="E62" s="2">
        <v>2.9000000000000001E-2</v>
      </c>
      <c r="F62" s="2">
        <v>0.97709999999999997</v>
      </c>
    </row>
    <row r="63" spans="1:6" hidden="1" x14ac:dyDescent="0.15">
      <c r="A63" s="2" t="s">
        <v>88</v>
      </c>
      <c r="B63" s="2">
        <v>-1.3412000000000001E-3</v>
      </c>
      <c r="C63" s="2">
        <f t="shared" si="0"/>
        <v>0.99865969900675911</v>
      </c>
      <c r="D63" s="2">
        <v>4.6369500000000001E-2</v>
      </c>
      <c r="E63" s="2">
        <v>-2.9000000000000001E-2</v>
      </c>
      <c r="F63" s="2">
        <v>0.97689999999999999</v>
      </c>
    </row>
    <row r="64" spans="1:6" hidden="1" x14ac:dyDescent="0.15">
      <c r="A64" s="2" t="s">
        <v>89</v>
      </c>
      <c r="B64" s="2">
        <v>3.52238E-2</v>
      </c>
      <c r="C64" s="2">
        <f t="shared" si="0"/>
        <v>1.0358515064276397</v>
      </c>
      <c r="D64" s="2">
        <v>0.26140760000000002</v>
      </c>
      <c r="E64" s="2">
        <v>0.13500000000000001</v>
      </c>
      <c r="F64" s="2">
        <v>0.89280000000000004</v>
      </c>
    </row>
    <row r="65" spans="1:7" hidden="1" x14ac:dyDescent="0.15">
      <c r="A65" s="2" t="s">
        <v>91</v>
      </c>
      <c r="B65" s="2">
        <v>-7.5764506999999996</v>
      </c>
      <c r="C65" s="2">
        <f t="shared" si="0"/>
        <v>5.1237657767667E-4</v>
      </c>
      <c r="D65" s="2">
        <v>-6.2334599999999997E-2</v>
      </c>
      <c r="E65" s="2">
        <v>121.545</v>
      </c>
      <c r="F65" s="2" t="s">
        <v>127</v>
      </c>
      <c r="G65" s="2" t="s">
        <v>103</v>
      </c>
    </row>
    <row r="66" spans="1:7" hidden="1" x14ac:dyDescent="0.15">
      <c r="A66" s="2" t="s">
        <v>94</v>
      </c>
      <c r="B66" s="2">
        <v>2.6730744</v>
      </c>
      <c r="C66" s="2">
        <f t="shared" si="0"/>
        <v>14.484431746905974</v>
      </c>
      <c r="D66" s="2">
        <v>1.5822300000000001E-2</v>
      </c>
      <c r="E66" s="2">
        <v>168.94399999999999</v>
      </c>
      <c r="F66" s="2" t="s">
        <v>127</v>
      </c>
      <c r="G66" s="2" t="s">
        <v>103</v>
      </c>
    </row>
  </sheetData>
  <autoFilter ref="A1:G66" xr:uid="{6D899BC7-F4E4-FE4A-9F2D-74F2C80890BA}">
    <filterColumn colId="6">
      <filters>
        <filter val="*"/>
        <filter val="**"/>
      </filters>
    </filterColumn>
  </autoFilter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798EA-3C59-3A42-9866-9DF104DA5C79}">
  <sheetPr filterMode="1"/>
  <dimension ref="A1:G63"/>
  <sheetViews>
    <sheetView workbookViewId="0">
      <selection activeCell="A74" sqref="A74"/>
    </sheetView>
  </sheetViews>
  <sheetFormatPr baseColWidth="10" defaultRowHeight="14" x14ac:dyDescent="0.15"/>
  <cols>
    <col min="1" max="1" width="37.5" style="2" customWidth="1"/>
    <col min="2" max="2" width="11" style="2" bestFit="1" customWidth="1"/>
    <col min="3" max="3" width="15.5" style="2" customWidth="1"/>
    <col min="4" max="5" width="11" style="2" bestFit="1" customWidth="1"/>
    <col min="6" max="6" width="11.33203125" style="2" bestFit="1" customWidth="1"/>
    <col min="7" max="7" width="16.33203125" style="2" customWidth="1"/>
    <col min="8" max="16384" width="10.83203125" style="2"/>
  </cols>
  <sheetData>
    <row r="1" spans="1:7" x14ac:dyDescent="0.15">
      <c r="A1" s="9" t="s">
        <v>1</v>
      </c>
      <c r="B1" s="9" t="s">
        <v>106</v>
      </c>
      <c r="C1" s="9" t="s">
        <v>113</v>
      </c>
      <c r="D1" s="9" t="s">
        <v>2</v>
      </c>
      <c r="E1" s="9" t="s">
        <v>115</v>
      </c>
      <c r="F1" s="9" t="s">
        <v>99</v>
      </c>
      <c r="G1" s="9" t="s">
        <v>114</v>
      </c>
    </row>
    <row r="2" spans="1:7" hidden="1" x14ac:dyDescent="0.15">
      <c r="A2" s="2" t="s">
        <v>107</v>
      </c>
      <c r="B2" s="2">
        <v>2.1871679999999998</v>
      </c>
      <c r="C2" s="2">
        <f>EXP(B2)</f>
        <v>8.9099443885625309</v>
      </c>
      <c r="D2" s="2">
        <v>2.99279E-2</v>
      </c>
      <c r="E2" s="2">
        <v>73.081000000000003</v>
      </c>
      <c r="F2" s="2" t="s">
        <v>102</v>
      </c>
      <c r="G2" s="2" t="s">
        <v>103</v>
      </c>
    </row>
    <row r="3" spans="1:7" hidden="1" x14ac:dyDescent="0.15">
      <c r="A3" s="2" t="s">
        <v>108</v>
      </c>
      <c r="B3" s="2">
        <v>3.8929999999999998E-4</v>
      </c>
      <c r="C3" s="2">
        <f t="shared" ref="C3:C63" si="0">EXP(B3)</f>
        <v>1.0003893757870794</v>
      </c>
      <c r="D3" s="2">
        <v>3.0590000000000001E-4</v>
      </c>
      <c r="E3" s="2">
        <v>1.2729999999999999</v>
      </c>
      <c r="F3" s="2">
        <v>0.20327999999999999</v>
      </c>
    </row>
    <row r="4" spans="1:7" hidden="1" x14ac:dyDescent="0.15">
      <c r="A4" s="2" t="s">
        <v>20</v>
      </c>
      <c r="B4" s="2">
        <v>0.12684380000000001</v>
      </c>
      <c r="C4" s="2">
        <f t="shared" si="0"/>
        <v>1.1352396794937898</v>
      </c>
      <c r="D4" s="2">
        <v>2.6130899999999999E-2</v>
      </c>
      <c r="E4" s="2" t="s">
        <v>128</v>
      </c>
      <c r="F4" s="3">
        <v>3.1E-7</v>
      </c>
      <c r="G4" s="2" t="s">
        <v>103</v>
      </c>
    </row>
    <row r="5" spans="1:7" x14ac:dyDescent="0.15">
      <c r="A5" s="2" t="s">
        <v>21</v>
      </c>
      <c r="B5" s="2">
        <v>4.5712299999999997E-2</v>
      </c>
      <c r="C5" s="2">
        <f t="shared" si="0"/>
        <v>1.0467732109785992</v>
      </c>
      <c r="D5" s="2">
        <v>1.7403100000000001E-2</v>
      </c>
      <c r="E5" s="6">
        <v>2.6269999999999998</v>
      </c>
      <c r="F5" s="2">
        <v>8.6899999999999998E-3</v>
      </c>
      <c r="G5" s="2" t="s">
        <v>111</v>
      </c>
    </row>
    <row r="6" spans="1:7" hidden="1" x14ac:dyDescent="0.15">
      <c r="A6" s="2" t="s">
        <v>23</v>
      </c>
      <c r="B6" s="2">
        <v>4.0011699999999997E-2</v>
      </c>
      <c r="C6" s="2">
        <f t="shared" si="0"/>
        <v>1.0408229517496848</v>
      </c>
      <c r="D6" s="2">
        <v>2.1451700000000001E-2</v>
      </c>
      <c r="E6" s="2">
        <v>1.865</v>
      </c>
      <c r="F6" s="2">
        <v>6.2309999999999997E-2</v>
      </c>
      <c r="G6" s="2" t="s">
        <v>110</v>
      </c>
    </row>
    <row r="7" spans="1:7" x14ac:dyDescent="0.15">
      <c r="A7" s="2" t="s">
        <v>24</v>
      </c>
      <c r="B7" s="2">
        <v>7.1215600000000004E-2</v>
      </c>
      <c r="C7" s="2">
        <f t="shared" si="0"/>
        <v>1.0738127149342793</v>
      </c>
      <c r="D7" s="2">
        <v>3.24155E-2</v>
      </c>
      <c r="E7" s="6">
        <v>2.1970000000000001</v>
      </c>
      <c r="F7" s="2">
        <v>2.8150000000000001E-2</v>
      </c>
      <c r="G7" s="2" t="s">
        <v>112</v>
      </c>
    </row>
    <row r="8" spans="1:7" hidden="1" x14ac:dyDescent="0.15">
      <c r="A8" s="2" t="s">
        <v>29</v>
      </c>
      <c r="B8" s="2">
        <v>-4.2592400000000002E-2</v>
      </c>
      <c r="C8" s="2">
        <f t="shared" si="0"/>
        <v>0.95830191433306067</v>
      </c>
      <c r="D8" s="2">
        <v>3.03509E-2</v>
      </c>
      <c r="E8" s="2">
        <v>-1.403</v>
      </c>
      <c r="F8" s="2">
        <v>0.16067999999999999</v>
      </c>
    </row>
    <row r="9" spans="1:7" x14ac:dyDescent="0.15">
      <c r="A9" s="2" t="s">
        <v>30</v>
      </c>
      <c r="B9" s="2">
        <v>5.0958999999999997E-2</v>
      </c>
      <c r="C9" s="2">
        <f t="shared" si="0"/>
        <v>1.0522797489290445</v>
      </c>
      <c r="D9" s="2">
        <v>1.86588E-2</v>
      </c>
      <c r="E9" s="6">
        <v>2.7309999999999999</v>
      </c>
      <c r="F9" s="2">
        <v>6.3699999999999998E-3</v>
      </c>
      <c r="G9" s="2" t="s">
        <v>111</v>
      </c>
    </row>
    <row r="10" spans="1:7" hidden="1" x14ac:dyDescent="0.15">
      <c r="A10" s="2" t="s">
        <v>34</v>
      </c>
      <c r="B10" s="2">
        <v>-3.4046899999999998E-2</v>
      </c>
      <c r="C10" s="2">
        <f t="shared" si="0"/>
        <v>0.96652617349696268</v>
      </c>
      <c r="D10" s="2">
        <v>2.5662500000000001E-2</v>
      </c>
      <c r="E10" s="2">
        <v>-1.327</v>
      </c>
      <c r="F10" s="2">
        <v>0.18476000000000001</v>
      </c>
    </row>
    <row r="11" spans="1:7" hidden="1" x14ac:dyDescent="0.15">
      <c r="A11" s="2" t="s">
        <v>35</v>
      </c>
      <c r="B11" s="2">
        <v>5.1222900000000002E-2</v>
      </c>
      <c r="C11" s="2">
        <f t="shared" si="0"/>
        <v>1.0525574822000803</v>
      </c>
      <c r="D11" s="2">
        <v>0.25588630000000001</v>
      </c>
      <c r="E11" s="2">
        <v>0.2</v>
      </c>
      <c r="F11" s="2">
        <v>0.84136</v>
      </c>
    </row>
    <row r="12" spans="1:7" hidden="1" x14ac:dyDescent="0.15">
      <c r="A12" s="2" t="s">
        <v>36</v>
      </c>
      <c r="B12" s="2">
        <v>4.9624500000000002E-2</v>
      </c>
      <c r="C12" s="2">
        <f t="shared" si="0"/>
        <v>1.0508764181848027</v>
      </c>
      <c r="D12" s="2">
        <v>0.1493342</v>
      </c>
      <c r="E12" s="2">
        <v>0.33200000000000002</v>
      </c>
      <c r="F12" s="2">
        <v>0.73970000000000002</v>
      </c>
    </row>
    <row r="13" spans="1:7" hidden="1" x14ac:dyDescent="0.15">
      <c r="A13" s="2" t="s">
        <v>37</v>
      </c>
      <c r="B13" s="2">
        <v>7.8949699999999998E-2</v>
      </c>
      <c r="C13" s="2">
        <f t="shared" si="0"/>
        <v>1.0821498885619287</v>
      </c>
      <c r="D13" s="2">
        <v>5.0337800000000002E-2</v>
      </c>
      <c r="E13" s="2">
        <v>1.5680000000000001</v>
      </c>
      <c r="F13" s="2">
        <v>0.11695999999999999</v>
      </c>
    </row>
    <row r="14" spans="1:7" hidden="1" x14ac:dyDescent="0.15">
      <c r="A14" s="2" t="s">
        <v>39</v>
      </c>
      <c r="B14" s="2">
        <v>5.9222900000000002E-2</v>
      </c>
      <c r="C14" s="2">
        <f t="shared" si="0"/>
        <v>1.0610117138952742</v>
      </c>
      <c r="D14" s="2">
        <v>7.4754500000000002E-2</v>
      </c>
      <c r="E14" s="2">
        <v>0.79200000000000004</v>
      </c>
      <c r="F14" s="2">
        <v>0.42832999999999999</v>
      </c>
    </row>
    <row r="15" spans="1:7" hidden="1" x14ac:dyDescent="0.15">
      <c r="A15" s="2" t="s">
        <v>40</v>
      </c>
      <c r="B15" s="2">
        <v>3.9427000000000004E-3</v>
      </c>
      <c r="C15" s="2">
        <f t="shared" si="0"/>
        <v>1.0039504826665233</v>
      </c>
      <c r="D15" s="2">
        <v>5.9279699999999998E-2</v>
      </c>
      <c r="E15" s="2">
        <v>6.7000000000000004E-2</v>
      </c>
      <c r="F15" s="2">
        <v>0.94698000000000004</v>
      </c>
    </row>
    <row r="16" spans="1:7" hidden="1" x14ac:dyDescent="0.15">
      <c r="A16" s="2" t="s">
        <v>41</v>
      </c>
      <c r="B16" s="2">
        <v>4.7468799999999998E-2</v>
      </c>
      <c r="C16" s="2">
        <f t="shared" si="0"/>
        <v>1.0486134838702019</v>
      </c>
      <c r="D16" s="2">
        <v>2.9814799999999999E-2</v>
      </c>
      <c r="E16" s="2">
        <v>1.5920000000000001</v>
      </c>
      <c r="F16" s="2">
        <v>0.11153</v>
      </c>
    </row>
    <row r="17" spans="1:7" hidden="1" x14ac:dyDescent="0.15">
      <c r="A17" s="2" t="s">
        <v>42</v>
      </c>
      <c r="B17" s="2">
        <v>7.2640999999999999E-3</v>
      </c>
      <c r="C17" s="2">
        <f t="shared" si="0"/>
        <v>1.0072905475748968</v>
      </c>
      <c r="D17" s="2">
        <v>8.0454300000000006E-2</v>
      </c>
      <c r="E17" s="2">
        <v>0.09</v>
      </c>
      <c r="F17" s="2">
        <v>0.92806999999999995</v>
      </c>
    </row>
    <row r="18" spans="1:7" hidden="1" x14ac:dyDescent="0.15">
      <c r="A18" s="2" t="s">
        <v>43</v>
      </c>
      <c r="B18" s="2">
        <v>-1.6574599999999998E-2</v>
      </c>
      <c r="C18" s="2">
        <f t="shared" si="0"/>
        <v>0.98356200292834595</v>
      </c>
      <c r="D18" s="2">
        <v>4.5983900000000001E-2</v>
      </c>
      <c r="E18" s="2">
        <v>-0.36</v>
      </c>
      <c r="F18" s="2">
        <v>0.71855999999999998</v>
      </c>
    </row>
    <row r="19" spans="1:7" hidden="1" x14ac:dyDescent="0.15">
      <c r="A19" s="2" t="s">
        <v>44</v>
      </c>
      <c r="B19" s="2">
        <v>-0.1155065</v>
      </c>
      <c r="C19" s="2">
        <f t="shared" si="0"/>
        <v>0.89091478127217927</v>
      </c>
      <c r="D19" s="2">
        <v>8.0503500000000006E-2</v>
      </c>
      <c r="E19" s="2">
        <v>-1.4350000000000001</v>
      </c>
      <c r="F19" s="2">
        <v>0.15151000000000001</v>
      </c>
    </row>
    <row r="20" spans="1:7" hidden="1" x14ac:dyDescent="0.15">
      <c r="A20" s="2" t="s">
        <v>45</v>
      </c>
      <c r="B20" s="2">
        <v>7.6059000000000002E-2</v>
      </c>
      <c r="C20" s="2">
        <f t="shared" si="0"/>
        <v>1.0790262348271304</v>
      </c>
      <c r="D20" s="2">
        <v>0.12979889999999999</v>
      </c>
      <c r="E20" s="2">
        <v>0.58599999999999997</v>
      </c>
      <c r="F20" s="2">
        <v>0.55796000000000001</v>
      </c>
    </row>
    <row r="21" spans="1:7" x14ac:dyDescent="0.15">
      <c r="A21" s="2" t="s">
        <v>46</v>
      </c>
      <c r="B21" s="2">
        <v>7.4832999999999997E-2</v>
      </c>
      <c r="C21" s="2">
        <f t="shared" si="0"/>
        <v>1.0777041592611527</v>
      </c>
      <c r="D21" s="2">
        <v>3.25359E-2</v>
      </c>
      <c r="E21" s="6">
        <v>2.2999999999999998</v>
      </c>
      <c r="F21" s="2">
        <v>2.1559999999999999E-2</v>
      </c>
      <c r="G21" s="2" t="s">
        <v>112</v>
      </c>
    </row>
    <row r="22" spans="1:7" hidden="1" x14ac:dyDescent="0.15">
      <c r="A22" s="2" t="s">
        <v>47</v>
      </c>
      <c r="B22" s="2">
        <v>6.7552200000000007E-2</v>
      </c>
      <c r="C22" s="2">
        <f t="shared" si="0"/>
        <v>1.0698861061950367</v>
      </c>
      <c r="D22" s="2">
        <v>3.8790499999999999E-2</v>
      </c>
      <c r="E22" s="2">
        <v>1.7410000000000001</v>
      </c>
      <c r="F22" s="2">
        <v>8.1769999999999995E-2</v>
      </c>
      <c r="G22" s="2" t="s">
        <v>110</v>
      </c>
    </row>
    <row r="23" spans="1:7" x14ac:dyDescent="0.15">
      <c r="A23" s="11" t="s">
        <v>48</v>
      </c>
      <c r="B23" s="2">
        <v>0.75197429999999998</v>
      </c>
      <c r="C23" s="2">
        <f t="shared" si="0"/>
        <v>2.1211837383474199</v>
      </c>
      <c r="D23" s="2">
        <v>0.25840839999999998</v>
      </c>
      <c r="E23" s="6">
        <v>2.91</v>
      </c>
      <c r="F23" s="2">
        <v>3.6600000000000001E-3</v>
      </c>
      <c r="G23" s="2" t="s">
        <v>111</v>
      </c>
    </row>
    <row r="24" spans="1:7" hidden="1" x14ac:dyDescent="0.15">
      <c r="A24" s="2" t="s">
        <v>49</v>
      </c>
      <c r="B24" s="2">
        <v>0.10116989999999999</v>
      </c>
      <c r="C24" s="2">
        <f t="shared" si="0"/>
        <v>1.1064646141326597</v>
      </c>
      <c r="D24" s="2">
        <v>0.1068365</v>
      </c>
      <c r="E24" s="2">
        <v>0.94699999999999995</v>
      </c>
      <c r="F24" s="2">
        <v>0.34377999999999997</v>
      </c>
    </row>
    <row r="25" spans="1:7" hidden="1" x14ac:dyDescent="0.15">
      <c r="A25" s="2" t="s">
        <v>50</v>
      </c>
      <c r="B25" s="2">
        <v>2.1484799999999998E-2</v>
      </c>
      <c r="C25" s="2">
        <f t="shared" si="0"/>
        <v>1.0217172601169988</v>
      </c>
      <c r="D25" s="2">
        <v>0.1067347</v>
      </c>
      <c r="E25" s="2">
        <v>0.20100000000000001</v>
      </c>
      <c r="F25" s="2">
        <v>0.84048999999999996</v>
      </c>
    </row>
    <row r="26" spans="1:7" hidden="1" x14ac:dyDescent="0.15">
      <c r="A26" s="2" t="s">
        <v>51</v>
      </c>
      <c r="B26" s="2">
        <v>5.0695799999999999E-2</v>
      </c>
      <c r="C26" s="2">
        <f t="shared" si="0"/>
        <v>1.0520028253438689</v>
      </c>
      <c r="D26" s="2">
        <v>8.8479299999999997E-2</v>
      </c>
      <c r="E26" s="2">
        <v>0.57299999999999995</v>
      </c>
      <c r="F26" s="2">
        <v>0.56674000000000002</v>
      </c>
    </row>
    <row r="27" spans="1:7" hidden="1" x14ac:dyDescent="0.15">
      <c r="A27" s="2" t="s">
        <v>52</v>
      </c>
      <c r="B27" s="2">
        <v>-3.04339E-2</v>
      </c>
      <c r="C27" s="2">
        <f t="shared" si="0"/>
        <v>0.97002454857079723</v>
      </c>
      <c r="D27" s="2">
        <v>4.3800600000000002E-2</v>
      </c>
      <c r="E27" s="2">
        <v>-0.69499999999999995</v>
      </c>
      <c r="F27" s="2">
        <v>0.48725000000000002</v>
      </c>
    </row>
    <row r="28" spans="1:7" x14ac:dyDescent="0.15">
      <c r="A28" s="2" t="s">
        <v>53</v>
      </c>
      <c r="B28" s="2">
        <v>0.11659170000000001</v>
      </c>
      <c r="C28" s="2">
        <f t="shared" si="0"/>
        <v>1.1236605454149942</v>
      </c>
      <c r="D28" s="2">
        <v>4.2163199999999998E-2</v>
      </c>
      <c r="E28" s="6">
        <v>2.7650000000000001</v>
      </c>
      <c r="F28" s="2">
        <v>5.7400000000000003E-3</v>
      </c>
      <c r="G28" s="2" t="s">
        <v>111</v>
      </c>
    </row>
    <row r="29" spans="1:7" hidden="1" x14ac:dyDescent="0.15">
      <c r="A29" s="2" t="s">
        <v>54</v>
      </c>
      <c r="B29" s="2">
        <v>-2.15103E-2</v>
      </c>
      <c r="C29" s="2">
        <f t="shared" si="0"/>
        <v>0.97871939660744622</v>
      </c>
      <c r="D29" s="2">
        <v>9.9370100000000003E-2</v>
      </c>
      <c r="E29" s="2">
        <v>-0.216</v>
      </c>
      <c r="F29" s="2">
        <v>0.82865</v>
      </c>
    </row>
    <row r="30" spans="1:7" x14ac:dyDescent="0.15">
      <c r="A30" s="2" t="s">
        <v>55</v>
      </c>
      <c r="B30" s="2">
        <v>0.1416086</v>
      </c>
      <c r="C30" s="2">
        <f>EXP(B30)</f>
        <v>1.1521256183091411</v>
      </c>
      <c r="D30" s="2">
        <v>6.1996500000000003E-2</v>
      </c>
      <c r="E30" s="6">
        <v>2.2839999999999998</v>
      </c>
      <c r="F30" s="2">
        <v>2.248E-2</v>
      </c>
      <c r="G30" s="2" t="s">
        <v>112</v>
      </c>
    </row>
    <row r="31" spans="1:7" hidden="1" x14ac:dyDescent="0.15">
      <c r="A31" s="2" t="s">
        <v>56</v>
      </c>
      <c r="B31" s="2">
        <v>6.2376899999999999E-2</v>
      </c>
      <c r="C31" s="2">
        <f t="shared" si="0"/>
        <v>1.0643634277151026</v>
      </c>
      <c r="D31" s="2">
        <v>4.9247199999999998E-2</v>
      </c>
      <c r="E31" s="2">
        <v>1.2669999999999999</v>
      </c>
      <c r="F31" s="2">
        <v>0.20544999999999999</v>
      </c>
    </row>
    <row r="32" spans="1:7" hidden="1" x14ac:dyDescent="0.15">
      <c r="A32" s="2" t="s">
        <v>57</v>
      </c>
      <c r="B32" s="2">
        <v>-1.2099800000000001E-2</v>
      </c>
      <c r="C32" s="2">
        <f t="shared" si="0"/>
        <v>0.98797310822544016</v>
      </c>
      <c r="D32" s="2">
        <v>3.7536E-2</v>
      </c>
      <c r="E32" s="2">
        <v>-0.32200000000000001</v>
      </c>
      <c r="F32" s="2">
        <v>0.74722</v>
      </c>
    </row>
    <row r="33" spans="1:7" hidden="1" x14ac:dyDescent="0.15">
      <c r="A33" s="2" t="s">
        <v>58</v>
      </c>
      <c r="B33" s="2">
        <v>4.9294499999999998E-2</v>
      </c>
      <c r="C33" s="2">
        <f t="shared" si="0"/>
        <v>1.0505296861807289</v>
      </c>
      <c r="D33" s="2">
        <v>4.22663E-2</v>
      </c>
      <c r="E33" s="2">
        <v>1.1659999999999999</v>
      </c>
      <c r="F33" s="2">
        <v>0.24365000000000001</v>
      </c>
    </row>
    <row r="34" spans="1:7" hidden="1" x14ac:dyDescent="0.15">
      <c r="A34" s="2" t="s">
        <v>59</v>
      </c>
      <c r="B34" s="2">
        <v>3.5468600000000003E-2</v>
      </c>
      <c r="C34" s="2">
        <f t="shared" si="0"/>
        <v>1.0361051139167035</v>
      </c>
      <c r="D34" s="2">
        <v>0.11684170000000001</v>
      </c>
      <c r="E34" s="2">
        <v>0.30399999999999999</v>
      </c>
      <c r="F34" s="2">
        <v>0.76149999999999995</v>
      </c>
    </row>
    <row r="35" spans="1:7" hidden="1" x14ac:dyDescent="0.15">
      <c r="A35" s="2" t="s">
        <v>60</v>
      </c>
      <c r="B35" s="2">
        <v>6.2374199999999998E-2</v>
      </c>
      <c r="C35" s="2">
        <f t="shared" si="0"/>
        <v>1.0643605539377274</v>
      </c>
      <c r="D35" s="2">
        <v>3.5738699999999998E-2</v>
      </c>
      <c r="E35" s="2">
        <v>1.7450000000000001</v>
      </c>
      <c r="F35" s="2">
        <v>8.1100000000000005E-2</v>
      </c>
      <c r="G35" s="2" t="s">
        <v>110</v>
      </c>
    </row>
    <row r="36" spans="1:7" hidden="1" x14ac:dyDescent="0.15">
      <c r="A36" s="2" t="s">
        <v>61</v>
      </c>
      <c r="B36" s="2">
        <v>-2.5820699999999999E-2</v>
      </c>
      <c r="C36" s="2">
        <f t="shared" si="0"/>
        <v>0.97450980355295325</v>
      </c>
      <c r="D36" s="2">
        <v>6.3125000000000001E-2</v>
      </c>
      <c r="E36" s="2">
        <v>-0.40899999999999997</v>
      </c>
      <c r="F36" s="2">
        <v>0.68255999999999994</v>
      </c>
    </row>
    <row r="37" spans="1:7" hidden="1" x14ac:dyDescent="0.15">
      <c r="A37" s="2" t="s">
        <v>62</v>
      </c>
      <c r="B37" s="2">
        <v>2.8199599999999998E-2</v>
      </c>
      <c r="C37" s="2">
        <f t="shared" si="0"/>
        <v>1.028600972687123</v>
      </c>
      <c r="D37" s="2">
        <v>5.2419500000000001E-2</v>
      </c>
      <c r="E37" s="2">
        <v>0.53800000000000003</v>
      </c>
      <c r="F37" s="2">
        <v>0.59067000000000003</v>
      </c>
    </row>
    <row r="38" spans="1:7" hidden="1" x14ac:dyDescent="0.15">
      <c r="A38" s="2" t="s">
        <v>63</v>
      </c>
      <c r="B38" s="2">
        <v>6.7075599999999999E-2</v>
      </c>
      <c r="C38" s="2">
        <f t="shared" si="0"/>
        <v>1.0693763199685316</v>
      </c>
      <c r="D38" s="2">
        <v>8.4168300000000001E-2</v>
      </c>
      <c r="E38" s="2">
        <v>0.79700000000000004</v>
      </c>
      <c r="F38" s="2">
        <v>0.42559999999999998</v>
      </c>
    </row>
    <row r="39" spans="1:7" hidden="1" x14ac:dyDescent="0.15">
      <c r="A39" s="2" t="s">
        <v>64</v>
      </c>
      <c r="B39" s="2">
        <v>6.4781400000000003E-2</v>
      </c>
      <c r="C39" s="2">
        <f t="shared" si="0"/>
        <v>1.0669257689172136</v>
      </c>
      <c r="D39" s="2">
        <v>0.106652</v>
      </c>
      <c r="E39" s="2">
        <v>0.60699999999999998</v>
      </c>
      <c r="F39" s="2">
        <v>0.54364999999999997</v>
      </c>
    </row>
    <row r="40" spans="1:7" hidden="1" x14ac:dyDescent="0.15">
      <c r="A40" s="2" t="s">
        <v>65</v>
      </c>
      <c r="B40" s="2">
        <v>1.49306E-2</v>
      </c>
      <c r="C40" s="2">
        <f t="shared" si="0"/>
        <v>1.015042618213553</v>
      </c>
      <c r="D40" s="2">
        <v>3.9317699999999997E-2</v>
      </c>
      <c r="E40" s="2">
        <v>0.38</v>
      </c>
      <c r="F40" s="2">
        <v>0.70418000000000003</v>
      </c>
    </row>
    <row r="41" spans="1:7" hidden="1" x14ac:dyDescent="0.15">
      <c r="A41" s="2" t="s">
        <v>66</v>
      </c>
      <c r="B41" s="2">
        <v>1.1842E-2</v>
      </c>
      <c r="C41" s="2">
        <f t="shared" si="0"/>
        <v>1.0119123940764578</v>
      </c>
      <c r="D41" s="2">
        <v>0.1166194</v>
      </c>
      <c r="E41" s="2">
        <v>0.10199999999999999</v>
      </c>
      <c r="F41" s="2">
        <v>0.91913</v>
      </c>
    </row>
    <row r="42" spans="1:7" hidden="1" x14ac:dyDescent="0.15">
      <c r="A42" s="2" t="s">
        <v>67</v>
      </c>
      <c r="B42" s="2">
        <v>2.0381099999999999E-2</v>
      </c>
      <c r="C42" s="2">
        <f t="shared" si="0"/>
        <v>1.0205902128524504</v>
      </c>
      <c r="D42" s="2">
        <v>6.80061E-2</v>
      </c>
      <c r="E42" s="2">
        <v>0.3</v>
      </c>
      <c r="F42" s="2">
        <v>0.76444000000000001</v>
      </c>
    </row>
    <row r="43" spans="1:7" x14ac:dyDescent="0.15">
      <c r="A43" s="2" t="s">
        <v>68</v>
      </c>
      <c r="B43" s="2">
        <v>0.1417976</v>
      </c>
      <c r="C43" s="2">
        <f t="shared" si="0"/>
        <v>1.1523433906298377</v>
      </c>
      <c r="D43" s="2">
        <v>6.9958699999999999E-2</v>
      </c>
      <c r="E43" s="6">
        <v>2.0270000000000001</v>
      </c>
      <c r="F43" s="2">
        <v>4.2819999999999997E-2</v>
      </c>
      <c r="G43" s="2" t="s">
        <v>112</v>
      </c>
    </row>
    <row r="44" spans="1:7" hidden="1" x14ac:dyDescent="0.15">
      <c r="A44" s="2" t="s">
        <v>69</v>
      </c>
      <c r="B44" s="2">
        <v>6.8868200000000004E-2</v>
      </c>
      <c r="C44" s="2">
        <f t="shared" si="0"/>
        <v>1.0712950031616595</v>
      </c>
      <c r="D44" s="2">
        <v>3.9572999999999997E-2</v>
      </c>
      <c r="E44" s="2">
        <v>1.74</v>
      </c>
      <c r="F44" s="2">
        <v>8.1970000000000001E-2</v>
      </c>
      <c r="G44" s="2" t="s">
        <v>110</v>
      </c>
    </row>
    <row r="45" spans="1:7" hidden="1" x14ac:dyDescent="0.15">
      <c r="A45" s="2" t="s">
        <v>70</v>
      </c>
      <c r="B45" s="2">
        <v>-1.6981099999999999E-2</v>
      </c>
      <c r="C45" s="2">
        <f t="shared" si="0"/>
        <v>0.98316226622614467</v>
      </c>
      <c r="D45" s="2">
        <v>0.10670549999999999</v>
      </c>
      <c r="E45" s="2">
        <v>-0.159</v>
      </c>
      <c r="F45" s="2">
        <v>0.87358000000000002</v>
      </c>
    </row>
    <row r="46" spans="1:7" hidden="1" x14ac:dyDescent="0.15">
      <c r="A46" s="2" t="s">
        <v>71</v>
      </c>
      <c r="B46" s="2">
        <v>5.0563200000000003E-2</v>
      </c>
      <c r="C46" s="2">
        <f>EXP(B46)</f>
        <v>1.0518633390173762</v>
      </c>
      <c r="D46" s="2">
        <v>6.17078E-2</v>
      </c>
      <c r="E46" s="2">
        <v>0.81899999999999995</v>
      </c>
      <c r="F46" s="2">
        <v>0.41266999999999998</v>
      </c>
    </row>
    <row r="47" spans="1:7" hidden="1" x14ac:dyDescent="0.15">
      <c r="A47" s="2" t="s">
        <v>72</v>
      </c>
      <c r="B47" s="2">
        <v>3.7609900000000002E-2</v>
      </c>
      <c r="C47" s="2">
        <f t="shared" si="0"/>
        <v>1.0383261028503015</v>
      </c>
      <c r="D47" s="2">
        <v>3.6584899999999997E-2</v>
      </c>
      <c r="E47" s="2">
        <v>1.028</v>
      </c>
      <c r="F47" s="2">
        <v>0.30408000000000002</v>
      </c>
    </row>
    <row r="48" spans="1:7" hidden="1" x14ac:dyDescent="0.15">
      <c r="A48" s="2" t="s">
        <v>73</v>
      </c>
      <c r="B48" s="2">
        <v>1.7821900000000002E-2</v>
      </c>
      <c r="C48" s="2">
        <f t="shared" si="0"/>
        <v>1.0179816577106064</v>
      </c>
      <c r="D48" s="2">
        <v>7.7470999999999998E-2</v>
      </c>
      <c r="E48" s="2">
        <v>0.23</v>
      </c>
      <c r="F48" s="2">
        <v>0.81808000000000003</v>
      </c>
    </row>
    <row r="49" spans="1:7" hidden="1" x14ac:dyDescent="0.15">
      <c r="A49" s="2" t="s">
        <v>74</v>
      </c>
      <c r="B49" s="2">
        <v>-2.1401E-2</v>
      </c>
      <c r="C49" s="2">
        <f t="shared" si="0"/>
        <v>0.97882637648383908</v>
      </c>
      <c r="D49" s="2">
        <v>8.0594799999999994E-2</v>
      </c>
      <c r="E49" s="2">
        <v>-0.26600000000000001</v>
      </c>
      <c r="F49" s="2">
        <v>0.79061999999999999</v>
      </c>
    </row>
    <row r="50" spans="1:7" x14ac:dyDescent="0.15">
      <c r="A50" s="2" t="s">
        <v>75</v>
      </c>
      <c r="B50" s="2">
        <v>7.1929800000000002E-2</v>
      </c>
      <c r="C50" s="2">
        <f t="shared" si="0"/>
        <v>1.0745799059065706</v>
      </c>
      <c r="D50" s="2">
        <v>3.4475899999999997E-2</v>
      </c>
      <c r="E50" s="6">
        <v>2.0859999999999999</v>
      </c>
      <c r="F50" s="2">
        <v>3.7080000000000002E-2</v>
      </c>
      <c r="G50" s="2" t="s">
        <v>112</v>
      </c>
    </row>
    <row r="51" spans="1:7" hidden="1" x14ac:dyDescent="0.15">
      <c r="A51" s="2" t="s">
        <v>76</v>
      </c>
      <c r="B51" s="2">
        <v>3.2834599999999999E-2</v>
      </c>
      <c r="C51" s="2">
        <f t="shared" si="0"/>
        <v>1.0333796041188392</v>
      </c>
      <c r="D51" s="2">
        <v>0.1822811</v>
      </c>
      <c r="E51" s="2">
        <v>0.18</v>
      </c>
      <c r="F51" s="2">
        <v>0.85707</v>
      </c>
    </row>
    <row r="52" spans="1:7" hidden="1" x14ac:dyDescent="0.15">
      <c r="A52" s="2" t="s">
        <v>77</v>
      </c>
      <c r="B52" s="2">
        <v>1.21844E-2</v>
      </c>
      <c r="C52" s="2">
        <f t="shared" si="0"/>
        <v>1.0122589322041315</v>
      </c>
      <c r="D52" s="2">
        <v>8.8227799999999995E-2</v>
      </c>
      <c r="E52" s="2">
        <v>0.13800000000000001</v>
      </c>
      <c r="F52" s="2">
        <v>0.89017999999999997</v>
      </c>
    </row>
    <row r="53" spans="1:7" hidden="1" x14ac:dyDescent="0.15">
      <c r="A53" s="2" t="s">
        <v>78</v>
      </c>
      <c r="B53" s="2">
        <v>5.32872E-2</v>
      </c>
      <c r="C53" s="2">
        <f t="shared" si="0"/>
        <v>1.0547325208043006</v>
      </c>
      <c r="D53" s="2">
        <v>4.5213799999999998E-2</v>
      </c>
      <c r="E53" s="2">
        <v>1.179</v>
      </c>
      <c r="F53" s="2">
        <v>0.23871999999999999</v>
      </c>
    </row>
    <row r="54" spans="1:7" x14ac:dyDescent="0.15">
      <c r="A54" s="11" t="s">
        <v>79</v>
      </c>
      <c r="B54" s="2">
        <v>-0.63512049999999998</v>
      </c>
      <c r="C54" s="2">
        <f t="shared" si="0"/>
        <v>0.52987163493846956</v>
      </c>
      <c r="D54" s="2">
        <v>0.2559456</v>
      </c>
      <c r="E54" s="6">
        <v>-2.4809999999999999</v>
      </c>
      <c r="F54" s="2">
        <v>1.3169999999999999E-2</v>
      </c>
      <c r="G54" s="2" t="s">
        <v>112</v>
      </c>
    </row>
    <row r="55" spans="1:7" x14ac:dyDescent="0.15">
      <c r="A55" s="2" t="s">
        <v>80</v>
      </c>
      <c r="B55" s="2">
        <v>0.105722</v>
      </c>
      <c r="C55" s="2">
        <f t="shared" si="0"/>
        <v>1.1115128329839019</v>
      </c>
      <c r="D55" s="2">
        <v>5.1868200000000003E-2</v>
      </c>
      <c r="E55" s="6">
        <v>2.0379999999999998</v>
      </c>
      <c r="F55" s="2">
        <v>4.1660000000000003E-2</v>
      </c>
      <c r="G55" s="2" t="s">
        <v>112</v>
      </c>
    </row>
    <row r="56" spans="1:7" hidden="1" x14ac:dyDescent="0.15">
      <c r="A56" s="2" t="s">
        <v>81</v>
      </c>
      <c r="B56" s="2">
        <v>4.5351200000000001E-2</v>
      </c>
      <c r="C56" s="2">
        <f t="shared" si="0"/>
        <v>1.0463952894099606</v>
      </c>
      <c r="D56" s="2">
        <v>3.0566200000000002E-2</v>
      </c>
      <c r="E56" s="2">
        <v>1.484</v>
      </c>
      <c r="F56" s="2">
        <v>0.13805999999999999</v>
      </c>
    </row>
    <row r="57" spans="1:7" hidden="1" x14ac:dyDescent="0.15">
      <c r="A57" s="2" t="s">
        <v>82</v>
      </c>
      <c r="B57" s="2">
        <v>2.9313200000000001E-2</v>
      </c>
      <c r="C57" s="2">
        <f t="shared" si="0"/>
        <v>1.0297470607537036</v>
      </c>
      <c r="D57" s="2">
        <v>7.7428499999999997E-2</v>
      </c>
      <c r="E57" s="2">
        <v>0.379</v>
      </c>
      <c r="F57" s="2">
        <v>0.70504</v>
      </c>
    </row>
    <row r="58" spans="1:7" hidden="1" x14ac:dyDescent="0.15">
      <c r="A58" s="2" t="s">
        <v>83</v>
      </c>
      <c r="B58" s="2">
        <v>4.2447499999999999E-2</v>
      </c>
      <c r="C58" s="2">
        <f t="shared" si="0"/>
        <v>1.043361278468651</v>
      </c>
      <c r="D58" s="2">
        <v>4.2125700000000002E-2</v>
      </c>
      <c r="E58" s="2">
        <v>1.008</v>
      </c>
      <c r="F58" s="2">
        <v>0.31375999999999998</v>
      </c>
    </row>
    <row r="59" spans="1:7" hidden="1" x14ac:dyDescent="0.15">
      <c r="A59" s="2" t="s">
        <v>85</v>
      </c>
      <c r="B59" s="2">
        <v>7.4069899999999994E-2</v>
      </c>
      <c r="C59" s="2">
        <f t="shared" si="0"/>
        <v>1.0768820769226297</v>
      </c>
      <c r="D59" s="2">
        <v>0.18169959999999999</v>
      </c>
      <c r="E59" s="2">
        <v>0.40799999999999997</v>
      </c>
      <c r="F59" s="2">
        <v>0.68357999999999997</v>
      </c>
    </row>
    <row r="60" spans="1:7" hidden="1" x14ac:dyDescent="0.15">
      <c r="A60" s="2" t="s">
        <v>86</v>
      </c>
      <c r="B60" s="2">
        <v>-1.3471500000000001E-2</v>
      </c>
      <c r="C60" s="2">
        <f t="shared" si="0"/>
        <v>0.9866188345538307</v>
      </c>
      <c r="D60" s="2">
        <v>6.48725E-2</v>
      </c>
      <c r="E60" s="2">
        <v>-0.20799999999999999</v>
      </c>
      <c r="F60" s="2">
        <v>0.83552000000000004</v>
      </c>
    </row>
    <row r="61" spans="1:7" x14ac:dyDescent="0.15">
      <c r="A61" s="2" t="s">
        <v>87</v>
      </c>
      <c r="B61" s="2">
        <v>-0.15293399999999999</v>
      </c>
      <c r="C61" s="2">
        <f t="shared" si="0"/>
        <v>0.85818636024208106</v>
      </c>
      <c r="D61" s="2">
        <v>7.4621599999999996E-2</v>
      </c>
      <c r="E61" s="6">
        <v>-2.0489999999999999</v>
      </c>
      <c r="F61" s="2">
        <v>4.0559999999999999E-2</v>
      </c>
      <c r="G61" s="2" t="s">
        <v>112</v>
      </c>
    </row>
    <row r="62" spans="1:7" hidden="1" x14ac:dyDescent="0.15">
      <c r="A62" s="2" t="s">
        <v>88</v>
      </c>
      <c r="B62" s="2">
        <v>1.19334E-2</v>
      </c>
      <c r="C62" s="2">
        <f t="shared" si="0"/>
        <v>1.0120048870961431</v>
      </c>
      <c r="D62" s="2">
        <v>7.0299399999999998E-2</v>
      </c>
      <c r="E62" s="2">
        <v>0.17</v>
      </c>
      <c r="F62" s="2">
        <v>0.86521999999999999</v>
      </c>
    </row>
    <row r="63" spans="1:7" hidden="1" x14ac:dyDescent="0.15">
      <c r="A63" s="2" t="s">
        <v>93</v>
      </c>
      <c r="B63" s="2">
        <v>3.8117953999999998</v>
      </c>
      <c r="C63" s="2">
        <f t="shared" si="0"/>
        <v>45.231574778172501</v>
      </c>
      <c r="D63" s="2">
        <v>2.53683E-2</v>
      </c>
      <c r="E63" s="2">
        <v>150.25800000000001</v>
      </c>
      <c r="F63" s="2" t="s">
        <v>102</v>
      </c>
      <c r="G63" s="2" t="s">
        <v>103</v>
      </c>
    </row>
  </sheetData>
  <autoFilter ref="A1:G63" xr:uid="{415798EA-3C59-3A42-9866-9DF104DA5C79}">
    <filterColumn colId="6">
      <filters>
        <filter val="*"/>
        <filter val="**"/>
      </filters>
    </filterColumn>
  </autoFilter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88F97-5B89-9848-9492-260A314D5499}">
  <dimension ref="A37:B42"/>
  <sheetViews>
    <sheetView tabSelected="1" workbookViewId="0">
      <selection activeCell="J31" sqref="J31"/>
    </sheetView>
  </sheetViews>
  <sheetFormatPr baseColWidth="10" defaultRowHeight="15" x14ac:dyDescent="0.15"/>
  <cols>
    <col min="1" max="1" width="19.5" customWidth="1"/>
  </cols>
  <sheetData>
    <row r="37" spans="1:2" ht="16" x14ac:dyDescent="0.15">
      <c r="A37" s="10" t="s">
        <v>116</v>
      </c>
      <c r="B37" s="10" t="s">
        <v>117</v>
      </c>
    </row>
    <row r="38" spans="1:2" ht="16" x14ac:dyDescent="0.15">
      <c r="A38" s="10" t="s">
        <v>118</v>
      </c>
      <c r="B38" s="10" t="s">
        <v>119</v>
      </c>
    </row>
    <row r="39" spans="1:2" ht="16" x14ac:dyDescent="0.15">
      <c r="A39" s="10" t="s">
        <v>120</v>
      </c>
      <c r="B39" s="10" t="s">
        <v>121</v>
      </c>
    </row>
    <row r="40" spans="1:2" ht="16" x14ac:dyDescent="0.15">
      <c r="A40" s="10" t="s">
        <v>122</v>
      </c>
      <c r="B40" s="10" t="s">
        <v>123</v>
      </c>
    </row>
    <row r="41" spans="1:2" ht="16" x14ac:dyDescent="0.15">
      <c r="A41" s="10" t="s">
        <v>124</v>
      </c>
      <c r="B41" s="10" t="s">
        <v>124</v>
      </c>
    </row>
    <row r="42" spans="1:2" ht="16" x14ac:dyDescent="0.15">
      <c r="A42" s="10" t="s">
        <v>125</v>
      </c>
      <c r="B42" s="10" t="s">
        <v>126</v>
      </c>
    </row>
  </sheetData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strength</vt:lpstr>
      <vt:lpstr>quantity_amox</vt:lpstr>
      <vt:lpstr>quantity_cepha</vt:lpstr>
      <vt:lpstr>quantity_azith</vt:lpstr>
      <vt:lpstr>quantity_sulfTri</vt:lpstr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Meris Li</dc:creator>
  <cp:lastModifiedBy>Meris Li</cp:lastModifiedBy>
  <dcterms:created xsi:type="dcterms:W3CDTF">2026-07-18T14:44:58Z</dcterms:created>
  <dcterms:modified xsi:type="dcterms:W3CDTF">2026-07-19T15:12:24Z</dcterms:modified>
</cp:coreProperties>
</file>